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iaow\Repos\ck-project-consolidator\data\"/>
    </mc:Choice>
  </mc:AlternateContent>
  <xr:revisionPtr revIDLastSave="0" documentId="13_ncr:1_{1B2760A5-2C08-452F-853E-DDED80025920}" xr6:coauthVersionLast="47" xr6:coauthVersionMax="47" xr10:uidLastSave="{00000000-0000-0000-0000-000000000000}"/>
  <bookViews>
    <workbookView xWindow="-57720" yWindow="-120" windowWidth="29040" windowHeight="15720" xr2:uid="{348ECA1E-C986-4CAC-A979-B2BB33006272}"/>
  </bookViews>
  <sheets>
    <sheet name="Sheet1" sheetId="1" r:id="rId1"/>
    <sheet name="Capex Calculation" sheetId="5" r:id="rId2"/>
    <sheet name="Assumption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2" i="1"/>
  <c r="G95" i="1"/>
  <c r="B5" i="2"/>
  <c r="G75" i="1" l="1"/>
  <c r="G32" i="1"/>
  <c r="G74" i="1"/>
  <c r="G28" i="1"/>
  <c r="G72" i="1"/>
  <c r="G38" i="1"/>
  <c r="G27" i="1"/>
  <c r="G39" i="1"/>
  <c r="G41" i="1"/>
  <c r="G77" i="1"/>
  <c r="G73" i="1"/>
  <c r="G34" i="1"/>
  <c r="G15" i="1"/>
  <c r="G14" i="1"/>
  <c r="G80" i="1"/>
  <c r="G31" i="1"/>
  <c r="G30" i="1"/>
  <c r="G10" i="1"/>
  <c r="G29" i="1"/>
  <c r="G54" i="1"/>
  <c r="G49" i="1"/>
  <c r="G61" i="1"/>
  <c r="G11" i="1"/>
  <c r="G55" i="1"/>
  <c r="G83" i="1"/>
  <c r="G78" i="1"/>
  <c r="G79" i="1"/>
  <c r="G52" i="1"/>
  <c r="G94" i="1"/>
  <c r="G51" i="1"/>
  <c r="G93" i="1"/>
  <c r="G53" i="1"/>
  <c r="G50" i="1"/>
  <c r="G84" i="1"/>
  <c r="G33" i="1"/>
  <c r="G82" i="1"/>
  <c r="G76" i="1"/>
  <c r="G71" i="1"/>
  <c r="G60" i="1"/>
  <c r="G56" i="1"/>
  <c r="G59" i="1"/>
  <c r="G58" i="1"/>
  <c r="G42" i="1"/>
  <c r="G57" i="1"/>
  <c r="G40" i="1"/>
  <c r="G64" i="1"/>
  <c r="G36" i="1"/>
  <c r="G63" i="1"/>
  <c r="G35" i="1"/>
  <c r="G62" i="1"/>
  <c r="G81" i="1"/>
  <c r="G37" i="1"/>
  <c r="G86" i="1"/>
  <c r="G85" i="1"/>
  <c r="G92" i="1"/>
  <c r="G70" i="1"/>
  <c r="G48" i="1"/>
  <c r="G26" i="1"/>
  <c r="G91" i="1"/>
  <c r="G69" i="1"/>
  <c r="G47" i="1"/>
  <c r="G25" i="1"/>
  <c r="G90" i="1"/>
  <c r="G68" i="1"/>
  <c r="G46" i="1"/>
  <c r="G24" i="1"/>
  <c r="G89" i="1"/>
  <c r="G67" i="1"/>
  <c r="G45" i="1"/>
  <c r="G88" i="1"/>
  <c r="G66" i="1"/>
  <c r="G44" i="1"/>
  <c r="G87" i="1"/>
  <c r="G65" i="1"/>
  <c r="G43" i="1"/>
  <c r="G12" i="1" l="1"/>
  <c r="G4" i="1"/>
  <c r="G23" i="1"/>
  <c r="G13" i="1"/>
  <c r="G19" i="1"/>
  <c r="G20" i="1"/>
  <c r="G2" i="1"/>
  <c r="G22" i="1"/>
  <c r="G16" i="1"/>
  <c r="G3" i="1"/>
  <c r="G17" i="1"/>
  <c r="G21" i="1"/>
  <c r="G7" i="1"/>
  <c r="G5" i="1"/>
  <c r="G6" i="1"/>
  <c r="G8" i="1"/>
  <c r="G18" i="1"/>
  <c r="G9" i="1"/>
</calcChain>
</file>

<file path=xl/sharedStrings.xml><?xml version="1.0" encoding="utf-8"?>
<sst xmlns="http://schemas.openxmlformats.org/spreadsheetml/2006/main" count="329" uniqueCount="172">
  <si>
    <t>contract_name</t>
  </si>
  <si>
    <t>work_package_name</t>
  </si>
  <si>
    <t>capex_bom</t>
  </si>
  <si>
    <t>capex_installation</t>
  </si>
  <si>
    <t>capex_connection</t>
  </si>
  <si>
    <t>target_sockets</t>
  </si>
  <si>
    <t>target_sockets_1</t>
  </si>
  <si>
    <t>target_sockets_2</t>
  </si>
  <si>
    <t>target_sockets_3</t>
  </si>
  <si>
    <t>target_sockets_4</t>
  </si>
  <si>
    <t>target_sockets_5</t>
  </si>
  <si>
    <t>target_sockets_6</t>
  </si>
  <si>
    <t>target_sockets_7</t>
  </si>
  <si>
    <t>target_sockets_8</t>
  </si>
  <si>
    <t>target_sockets_9</t>
  </si>
  <si>
    <t>target_sockets_10</t>
  </si>
  <si>
    <t>target_sockets_11</t>
  </si>
  <si>
    <t>target_sockets_12</t>
  </si>
  <si>
    <t>SOUTH</t>
  </si>
  <si>
    <t xml:space="preserve">Surrey </t>
  </si>
  <si>
    <t>Surrey WP10</t>
  </si>
  <si>
    <t>Surrey WP11</t>
  </si>
  <si>
    <t>Surrey WP12</t>
  </si>
  <si>
    <t>Surrey WP13</t>
  </si>
  <si>
    <t>Surrey WP14</t>
  </si>
  <si>
    <t>Surrey WP15</t>
  </si>
  <si>
    <t>Surrey WP16</t>
  </si>
  <si>
    <t>Surrey WP17</t>
  </si>
  <si>
    <t>Surrey WP18</t>
  </si>
  <si>
    <t>Surrey WP19</t>
  </si>
  <si>
    <t>Surrey WP20</t>
  </si>
  <si>
    <t>Surrey WP21</t>
  </si>
  <si>
    <t>Surrey WP22</t>
  </si>
  <si>
    <t>Surrey LP</t>
  </si>
  <si>
    <t>Surrey Lamppost WP1</t>
  </si>
  <si>
    <t>Surrey Lamppost WP2</t>
  </si>
  <si>
    <t>Surrey Lamppost WP3</t>
  </si>
  <si>
    <t>Surrey Lamppost WP4</t>
  </si>
  <si>
    <t>Surrey Lamppost WP5</t>
  </si>
  <si>
    <t>Surrey Lamppost WP6</t>
  </si>
  <si>
    <t>Surrey Lamppost WP7</t>
  </si>
  <si>
    <t>Surrey Lamppost WP8</t>
  </si>
  <si>
    <t>Surrey Lamppost WP9</t>
  </si>
  <si>
    <t>Surrey Lamppost WP10</t>
  </si>
  <si>
    <t>Surrey Lamppost WP11</t>
  </si>
  <si>
    <t>Plymouth</t>
  </si>
  <si>
    <t>Plymouth WP1</t>
  </si>
  <si>
    <t>Plymouth WP2</t>
  </si>
  <si>
    <t>Plymouth WP3</t>
  </si>
  <si>
    <t>Plymouth WP4</t>
  </si>
  <si>
    <t>Plymouth WP5</t>
  </si>
  <si>
    <t>Bournemouth, Christchurch &amp; Poole</t>
  </si>
  <si>
    <t>Bournemouth, Christchurch and Poole WP1</t>
  </si>
  <si>
    <t>Bournemouth, Christchurch and Poole WP2</t>
  </si>
  <si>
    <t>Bournemouth, Christchurch and Poole WP3</t>
  </si>
  <si>
    <t>Dorset</t>
  </si>
  <si>
    <t>Dorset WP1</t>
  </si>
  <si>
    <t>Dorset WP2</t>
  </si>
  <si>
    <t>Dorset WP3</t>
  </si>
  <si>
    <t>West Sussex</t>
  </si>
  <si>
    <t>West Sussex - Phase 4 WP2</t>
  </si>
  <si>
    <t>Wealden</t>
  </si>
  <si>
    <t>Havering</t>
  </si>
  <si>
    <t>Dorset - LEVI Pilot WP1</t>
  </si>
  <si>
    <t>Dorset - LEVI Pilot WP2</t>
  </si>
  <si>
    <t>Central &amp; Wales</t>
  </si>
  <si>
    <t>Windsor &amp; Maidenhead</t>
  </si>
  <si>
    <t>Windsor &amp; Maidenhead WPX</t>
  </si>
  <si>
    <t>West Berkshire</t>
  </si>
  <si>
    <t>West Berkshire WP1</t>
  </si>
  <si>
    <t>West Berkshire WP2</t>
  </si>
  <si>
    <t>West Berkshire WP3</t>
  </si>
  <si>
    <t>North Northamptonshire</t>
  </si>
  <si>
    <t>North Northamptonshire WP1</t>
  </si>
  <si>
    <t>North Northamptonshire WP2</t>
  </si>
  <si>
    <t>North Northamptonshire WP3</t>
  </si>
  <si>
    <t>Oxfordshire</t>
  </si>
  <si>
    <t>Oxfordshire WP1</t>
  </si>
  <si>
    <t>Oxfordshire WP2</t>
  </si>
  <si>
    <t>Oxfordshire WP3</t>
  </si>
  <si>
    <t>Oxfordshire WP4</t>
  </si>
  <si>
    <t>Oxfordshire WP5</t>
  </si>
  <si>
    <t>Bedford</t>
  </si>
  <si>
    <t>Bedford WP1</t>
  </si>
  <si>
    <t>Bedford WP2</t>
  </si>
  <si>
    <t>Bedford WP3</t>
  </si>
  <si>
    <t>Gloucester - F&amp;F</t>
  </si>
  <si>
    <t>Gloucester - GCC LEVI WP3</t>
  </si>
  <si>
    <t>CCR</t>
  </si>
  <si>
    <t>Barking &amp; Dagenham</t>
  </si>
  <si>
    <t>Suffolk</t>
  </si>
  <si>
    <t xml:space="preserve">Ceredigion </t>
  </si>
  <si>
    <t>Midlands</t>
  </si>
  <si>
    <t>Midlands Connect - Leicestershire</t>
  </si>
  <si>
    <t xml:space="preserve">Midlands Connect - Leicestershire WP1 </t>
  </si>
  <si>
    <t>Midlands Connect - Leicestershire WP2</t>
  </si>
  <si>
    <t>Midlands Connect - Leicestershire WP3</t>
  </si>
  <si>
    <t>Midlands Connect - Leicestershire WP4</t>
  </si>
  <si>
    <t>Midlands Connect - Rutland</t>
  </si>
  <si>
    <t xml:space="preserve">Midlands Connect - Rutland WP1 </t>
  </si>
  <si>
    <t>Midlands Connect - Rutland WP2</t>
  </si>
  <si>
    <t xml:space="preserve">Midlands Connect - Warwickshire </t>
  </si>
  <si>
    <t>Midlands Connect - Warwickshire WP1</t>
  </si>
  <si>
    <t>Midlands Connect - Warwickshire WP2</t>
  </si>
  <si>
    <t>Midlands Connect - Warwickshire WP3</t>
  </si>
  <si>
    <t>Midlands Connect - Warwickshire WP4</t>
  </si>
  <si>
    <t>Midlands Connect - Worcestershire</t>
  </si>
  <si>
    <t>Midlands Connect - Worcestershire WP1</t>
  </si>
  <si>
    <t>Midlands Connect - Worcestershire WP2</t>
  </si>
  <si>
    <t>Midlands Connect - Worcestershire WP3</t>
  </si>
  <si>
    <t>Midlands Connect - Trojan</t>
  </si>
  <si>
    <t>Trojan WPX</t>
  </si>
  <si>
    <t>North</t>
  </si>
  <si>
    <t xml:space="preserve">Blackburn </t>
  </si>
  <si>
    <t>Blackburn WP1</t>
  </si>
  <si>
    <t>Blackburn WP2</t>
  </si>
  <si>
    <t>Blackburn WP3</t>
  </si>
  <si>
    <t>Warrington (LEVI Pilot)</t>
  </si>
  <si>
    <t>Warrington</t>
  </si>
  <si>
    <t>Warrington (LEVI)</t>
  </si>
  <si>
    <t>Warrington (LEVI) WPX</t>
  </si>
  <si>
    <t>Cheshire West &amp; Chester</t>
  </si>
  <si>
    <t>Cheshire West and Chester WP1</t>
  </si>
  <si>
    <t>Cheshire West and Chester WP2</t>
  </si>
  <si>
    <t>Cheshire West and Chester WP3</t>
  </si>
  <si>
    <t>NECA - Gateshead</t>
  </si>
  <si>
    <t>NECA - Gateshead WPX</t>
  </si>
  <si>
    <t>NECA - Newcastle upon Tyne</t>
  </si>
  <si>
    <t>NECA - Newcastle upon Tyne WPX</t>
  </si>
  <si>
    <t>NECA - North Tyneside</t>
  </si>
  <si>
    <t>NECA - North Tyneside WPX</t>
  </si>
  <si>
    <t>NECA - South Tyneside</t>
  </si>
  <si>
    <t>NECA - South Tyneside WPX</t>
  </si>
  <si>
    <t xml:space="preserve">NECA - Sunderland </t>
  </si>
  <si>
    <t>NECA - Sunderland WPX</t>
  </si>
  <si>
    <t>NECA - Northumberland</t>
  </si>
  <si>
    <t>NECA - Northumberland WPX</t>
  </si>
  <si>
    <t>Sunderland - LEVI</t>
  </si>
  <si>
    <t>South Tyneside - Rapids - Levelling-up Fund</t>
  </si>
  <si>
    <t>Westmorland and Furness Council</t>
  </si>
  <si>
    <t>Commercial</t>
  </si>
  <si>
    <t>Barratts</t>
  </si>
  <si>
    <t>Prologis</t>
  </si>
  <si>
    <t>Value per socket</t>
  </si>
  <si>
    <t>Assumption</t>
  </si>
  <si>
    <t>capex</t>
  </si>
  <si>
    <t>Senior Delivery Manager annual capacity</t>
  </si>
  <si>
    <t>No. of sockets</t>
  </si>
  <si>
    <t>Delivery Manger annual capacity</t>
  </si>
  <si>
    <t>Asset Value</t>
  </si>
  <si>
    <t>Notes</t>
  </si>
  <si>
    <t>Bill of Materials</t>
  </si>
  <si>
    <t>On‑site build cost</t>
  </si>
  <si>
    <t>Getting power to site, include ICP (Independent Connection Provider) and DNO cost</t>
  </si>
  <si>
    <t>month 1</t>
    <phoneticPr fontId="18" type="noConversion"/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</si>
  <si>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</si>
  <si>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</si>
  <si>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</si>
  <si>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</si>
  <si>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</si>
  <si>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</si>
  <si>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</si>
  <si>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</si>
  <si>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</si>
  <si>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</si>
  <si>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</si>
  <si>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BOM</t>
    <phoneticPr fontId="18" type="noConversion"/>
  </si>
  <si>
    <t>capex_bom_per_socket</t>
    <phoneticPr fontId="18" type="noConversion"/>
  </si>
  <si>
    <t>capex_installation_per_socket</t>
    <phoneticPr fontId="18" type="noConversion"/>
  </si>
  <si>
    <t>capex_connection_per_socket</t>
    <phoneticPr fontId="18" type="noConversion"/>
  </si>
  <si>
    <t>total_capex_per_socket</t>
    <phoneticPr fontId="18" type="noConversion"/>
  </si>
  <si>
    <t>region_name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</si>
</sst>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8"/>
      <color theme="3"/>
      <name val="等线 Light"/>
      <family val="2"/>
      <scheme val="major"/>
    </font>
    <font>
      <b/>
      <sz val="15"/>
      <color theme="3"/>
      <name val="等线"/>
      <family val="2"/>
      <scheme val="minor"/>
    </font>
    <font>
      <b/>
      <sz val="13"/>
      <color theme="3"/>
      <name val="等线"/>
      <family val="2"/>
      <scheme val="minor"/>
    </font>
    <font>
      <b/>
      <sz val="11"/>
      <color theme="3"/>
      <name val="等线"/>
      <family val="2"/>
      <scheme val="minor"/>
    </font>
    <font>
      <sz val="11"/>
      <color rgb="FF006100"/>
      <name val="等线"/>
      <family val="2"/>
      <scheme val="minor"/>
    </font>
    <font>
      <sz val="11"/>
      <color rgb="FF9C0006"/>
      <name val="等线"/>
      <family val="2"/>
      <scheme val="minor"/>
    </font>
    <font>
      <sz val="11"/>
      <color rgb="FF9C5700"/>
      <name val="等线"/>
      <family val="2"/>
      <scheme val="minor"/>
    </font>
    <font>
      <sz val="11"/>
      <color rgb="FF3F3F76"/>
      <name val="等线"/>
      <family val="2"/>
      <scheme val="minor"/>
    </font>
    <font>
      <b/>
      <sz val="11"/>
      <color rgb="FF3F3F3F"/>
      <name val="等线"/>
      <family val="2"/>
      <scheme val="minor"/>
    </font>
    <font>
      <b/>
      <sz val="11"/>
      <color rgb="FFFA7D00"/>
      <name val="等线"/>
      <family val="2"/>
      <scheme val="minor"/>
    </font>
    <font>
      <sz val="11"/>
      <color rgb="FFFA7D00"/>
      <name val="等线"/>
      <family val="2"/>
      <scheme val="minor"/>
    </font>
    <font>
      <b/>
      <sz val="11"/>
      <color theme="0"/>
      <name val="等线"/>
      <family val="2"/>
      <scheme val="minor"/>
    </font>
    <font>
      <sz val="11"/>
      <color rgb="FFFF0000"/>
      <name val="等线"/>
      <family val="2"/>
      <scheme val="minor"/>
    </font>
    <font>
      <i/>
      <sz val="11"/>
      <color rgb="FF7F7F7F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color theme="0"/>
      <name val="等线"/>
      <family val="2"/>
      <scheme val="minor"/>
    </font>
    <font>
      <sz val="9"/>
      <name val="等线"/>
      <family val="3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43356-5D5A-4D3E-8477-B7B2DD2CA9C3}">
  <dimension ref="A1:T95"/>
  <sheetViews>
    <sheetView tabSelected="1" zoomScale="115" zoomScaleNormal="115" workbookViewId="0">
      <selection activeCell="B2" sqref="B2"/>
    </sheetView>
  </sheetViews>
  <sheetFormatPr defaultRowHeight="13.9" x14ac:dyDescent="0.4"/>
  <cols>
    <col min="1" max="1" width="20.1328125" bestFit="1" customWidth="1"/>
    <col min="2" max="3" width="39.86328125" bestFit="1" customWidth="1"/>
    <col min="4" max="4" width="11" bestFit="1" customWidth="1"/>
    <col min="5" max="5" width="17.3984375" bestFit="1" customWidth="1"/>
    <col min="6" max="6" width="17" bestFit="1" customWidth="1"/>
    <col min="7" max="7" width="17" customWidth="1"/>
    <col min="8" max="8" width="13.73046875" bestFit="1" customWidth="1"/>
    <col min="9" max="17" width="15.59765625" bestFit="1" customWidth="1"/>
    <col min="18" max="20" width="16.59765625" bestFit="1" customWidth="1"/>
    <col min="21" max="21" width="3" customWidth="1"/>
  </cols>
  <sheetData>
    <row r="1" spans="1:20" x14ac:dyDescent="0.4">
      <c r="A1" t="s">
        <v>171</v>
      </c>
      <c r="B1" t="s">
        <v>0</v>
      </c>
      <c r="C1" t="s">
        <v>1</v>
      </c>
      <c r="D1" t="s">
        <v>167</v>
      </c>
      <c r="E1" t="s">
        <v>168</v>
      </c>
      <c r="F1" t="s">
        <v>169</v>
      </c>
      <c r="G1" t="s">
        <v>170</v>
      </c>
      <c r="H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</row>
    <row r="2" spans="1:20" x14ac:dyDescent="0.4">
      <c r="A2" t="s">
        <v>18</v>
      </c>
      <c r="B2" t="s">
        <v>19</v>
      </c>
      <c r="C2" t="s">
        <v>20</v>
      </c>
      <c r="D2">
        <f>Assumption!$B$2</f>
        <v>1000</v>
      </c>
      <c r="E2">
        <f>Assumption!$B$3</f>
        <v>1000</v>
      </c>
      <c r="F2">
        <f>Assumption!$B$4</f>
        <v>1000</v>
      </c>
      <c r="G2">
        <f>SUM(D2:F2)</f>
        <v>3000</v>
      </c>
      <c r="H2">
        <f>SUM(I2:T2)</f>
        <v>150</v>
      </c>
      <c r="I2">
        <v>50</v>
      </c>
      <c r="J2">
        <v>50</v>
      </c>
      <c r="K2">
        <v>50</v>
      </c>
    </row>
    <row r="3" spans="1:20" x14ac:dyDescent="0.4">
      <c r="A3" t="s">
        <v>18</v>
      </c>
      <c r="B3" t="s">
        <v>19</v>
      </c>
      <c r="C3" t="s">
        <v>21</v>
      </c>
      <c r="D3">
        <f>Assumption!$B$2</f>
        <v>1000</v>
      </c>
      <c r="E3">
        <f>Assumption!$B$3</f>
        <v>1000</v>
      </c>
      <c r="F3">
        <f>Assumption!$B$4</f>
        <v>1000</v>
      </c>
      <c r="G3">
        <f t="shared" ref="G3:G66" si="0">SUM(D3:F3)</f>
        <v>3000</v>
      </c>
      <c r="H3">
        <f t="shared" ref="H3:H66" si="1">SUM(I3:T3)</f>
        <v>100</v>
      </c>
      <c r="M3">
        <v>50</v>
      </c>
      <c r="N3">
        <v>50</v>
      </c>
    </row>
    <row r="4" spans="1:20" x14ac:dyDescent="0.4">
      <c r="A4" t="s">
        <v>18</v>
      </c>
      <c r="B4" t="s">
        <v>19</v>
      </c>
      <c r="C4" t="s">
        <v>22</v>
      </c>
      <c r="D4">
        <f>Assumption!$B$2</f>
        <v>1000</v>
      </c>
      <c r="E4">
        <f>Assumption!$B$3</f>
        <v>1000</v>
      </c>
      <c r="F4">
        <f>Assumption!$B$4</f>
        <v>1000</v>
      </c>
      <c r="G4">
        <f t="shared" si="0"/>
        <v>3000</v>
      </c>
      <c r="H4">
        <f t="shared" si="1"/>
        <v>100</v>
      </c>
      <c r="N4">
        <v>50</v>
      </c>
      <c r="O4">
        <v>50</v>
      </c>
    </row>
    <row r="5" spans="1:20" x14ac:dyDescent="0.4">
      <c r="A5" t="s">
        <v>18</v>
      </c>
      <c r="B5" t="s">
        <v>19</v>
      </c>
      <c r="C5" t="s">
        <v>23</v>
      </c>
      <c r="D5">
        <f>Assumption!$B$2</f>
        <v>1000</v>
      </c>
      <c r="E5">
        <f>Assumption!$B$3</f>
        <v>1000</v>
      </c>
      <c r="F5">
        <f>Assumption!$B$4</f>
        <v>1000</v>
      </c>
      <c r="G5">
        <f t="shared" si="0"/>
        <v>3000</v>
      </c>
      <c r="H5">
        <f t="shared" si="1"/>
        <v>100</v>
      </c>
      <c r="O5">
        <v>50</v>
      </c>
      <c r="P5">
        <v>50</v>
      </c>
    </row>
    <row r="6" spans="1:20" x14ac:dyDescent="0.4">
      <c r="A6" t="s">
        <v>18</v>
      </c>
      <c r="B6" t="s">
        <v>19</v>
      </c>
      <c r="C6" t="s">
        <v>24</v>
      </c>
      <c r="D6">
        <f>Assumption!$B$2</f>
        <v>1000</v>
      </c>
      <c r="E6">
        <f>Assumption!$B$3</f>
        <v>1000</v>
      </c>
      <c r="F6">
        <f>Assumption!$B$4</f>
        <v>1000</v>
      </c>
      <c r="G6">
        <f t="shared" si="0"/>
        <v>3000</v>
      </c>
      <c r="H6">
        <f t="shared" si="1"/>
        <v>100</v>
      </c>
      <c r="P6">
        <v>50</v>
      </c>
      <c r="Q6">
        <v>50</v>
      </c>
    </row>
    <row r="7" spans="1:20" x14ac:dyDescent="0.4">
      <c r="A7" t="s">
        <v>18</v>
      </c>
      <c r="B7" t="s">
        <v>19</v>
      </c>
      <c r="C7" t="s">
        <v>25</v>
      </c>
      <c r="D7">
        <f>Assumption!$B$2</f>
        <v>1000</v>
      </c>
      <c r="E7">
        <f>Assumption!$B$3</f>
        <v>1000</v>
      </c>
      <c r="F7">
        <f>Assumption!$B$4</f>
        <v>1000</v>
      </c>
      <c r="G7">
        <f t="shared" si="0"/>
        <v>3000</v>
      </c>
      <c r="H7">
        <f t="shared" si="1"/>
        <v>100</v>
      </c>
      <c r="R7">
        <v>50</v>
      </c>
      <c r="S7">
        <v>50</v>
      </c>
    </row>
    <row r="8" spans="1:20" x14ac:dyDescent="0.4">
      <c r="A8" t="s">
        <v>18</v>
      </c>
      <c r="B8" t="s">
        <v>19</v>
      </c>
      <c r="C8" t="s">
        <v>26</v>
      </c>
      <c r="D8">
        <f>Assumption!$B$2</f>
        <v>1000</v>
      </c>
      <c r="E8">
        <f>Assumption!$B$3</f>
        <v>1000</v>
      </c>
      <c r="F8">
        <f>Assumption!$B$4</f>
        <v>1000</v>
      </c>
      <c r="G8">
        <f t="shared" si="0"/>
        <v>3000</v>
      </c>
      <c r="H8">
        <f t="shared" si="1"/>
        <v>50</v>
      </c>
      <c r="T8">
        <v>50</v>
      </c>
    </row>
    <row r="9" spans="1:20" x14ac:dyDescent="0.4">
      <c r="A9" t="s">
        <v>18</v>
      </c>
      <c r="B9" t="s">
        <v>19</v>
      </c>
      <c r="C9" t="s">
        <v>27</v>
      </c>
      <c r="D9">
        <f>Assumption!$B$2</f>
        <v>1000</v>
      </c>
      <c r="E9">
        <f>Assumption!$B$3</f>
        <v>1000</v>
      </c>
      <c r="F9">
        <f>Assumption!$B$4</f>
        <v>1000</v>
      </c>
      <c r="G9">
        <f t="shared" si="0"/>
        <v>3000</v>
      </c>
      <c r="H9">
        <f t="shared" si="1"/>
        <v>0</v>
      </c>
    </row>
    <row r="10" spans="1:20" x14ac:dyDescent="0.4">
      <c r="A10" t="s">
        <v>18</v>
      </c>
      <c r="B10" t="s">
        <v>19</v>
      </c>
      <c r="C10" t="s">
        <v>28</v>
      </c>
      <c r="D10">
        <f>Assumption!$B$2</f>
        <v>1000</v>
      </c>
      <c r="E10">
        <f>Assumption!$B$3</f>
        <v>1000</v>
      </c>
      <c r="F10">
        <f>Assumption!$B$4</f>
        <v>1000</v>
      </c>
      <c r="G10">
        <f t="shared" si="0"/>
        <v>3000</v>
      </c>
      <c r="H10">
        <f t="shared" si="1"/>
        <v>0</v>
      </c>
    </row>
    <row r="11" spans="1:20" x14ac:dyDescent="0.4">
      <c r="A11" t="s">
        <v>18</v>
      </c>
      <c r="B11" t="s">
        <v>19</v>
      </c>
      <c r="C11" t="s">
        <v>29</v>
      </c>
      <c r="D11">
        <f>Assumption!$B$2</f>
        <v>1000</v>
      </c>
      <c r="E11">
        <f>Assumption!$B$3</f>
        <v>1000</v>
      </c>
      <c r="F11">
        <f>Assumption!$B$4</f>
        <v>1000</v>
      </c>
      <c r="G11">
        <f t="shared" si="0"/>
        <v>3000</v>
      </c>
      <c r="H11">
        <f t="shared" si="1"/>
        <v>0</v>
      </c>
    </row>
    <row r="12" spans="1:20" x14ac:dyDescent="0.4">
      <c r="A12" t="s">
        <v>18</v>
      </c>
      <c r="B12" t="s">
        <v>19</v>
      </c>
      <c r="C12" t="s">
        <v>30</v>
      </c>
      <c r="D12">
        <f>Assumption!$B$2</f>
        <v>1000</v>
      </c>
      <c r="E12">
        <f>Assumption!$B$3</f>
        <v>1000</v>
      </c>
      <c r="F12">
        <f>Assumption!$B$4</f>
        <v>1000</v>
      </c>
      <c r="G12">
        <f t="shared" si="0"/>
        <v>3000</v>
      </c>
      <c r="H12">
        <f t="shared" si="1"/>
        <v>0</v>
      </c>
    </row>
    <row r="13" spans="1:20" x14ac:dyDescent="0.4">
      <c r="A13" t="s">
        <v>18</v>
      </c>
      <c r="B13" t="s">
        <v>19</v>
      </c>
      <c r="C13" t="s">
        <v>31</v>
      </c>
      <c r="D13">
        <f>Assumption!$B$2</f>
        <v>1000</v>
      </c>
      <c r="E13">
        <f>Assumption!$B$3</f>
        <v>1000</v>
      </c>
      <c r="F13">
        <f>Assumption!$B$4</f>
        <v>1000</v>
      </c>
      <c r="G13">
        <f t="shared" si="0"/>
        <v>3000</v>
      </c>
      <c r="H13">
        <f t="shared" si="1"/>
        <v>0</v>
      </c>
    </row>
    <row r="14" spans="1:20" x14ac:dyDescent="0.4">
      <c r="A14" t="s">
        <v>18</v>
      </c>
      <c r="B14" t="s">
        <v>19</v>
      </c>
      <c r="C14" t="s">
        <v>32</v>
      </c>
      <c r="D14">
        <f>Assumption!$B$2</f>
        <v>1000</v>
      </c>
      <c r="E14">
        <f>Assumption!$B$3</f>
        <v>1000</v>
      </c>
      <c r="F14">
        <f>Assumption!$B$4</f>
        <v>1000</v>
      </c>
      <c r="G14">
        <f t="shared" si="0"/>
        <v>3000</v>
      </c>
      <c r="H14">
        <f t="shared" si="1"/>
        <v>0</v>
      </c>
    </row>
    <row r="15" spans="1:20" x14ac:dyDescent="0.4">
      <c r="A15" t="s">
        <v>18</v>
      </c>
      <c r="B15" t="s">
        <v>33</v>
      </c>
      <c r="C15" t="s">
        <v>34</v>
      </c>
      <c r="D15">
        <f>Assumption!$B$2</f>
        <v>1000</v>
      </c>
      <c r="E15">
        <f>Assumption!$B$3</f>
        <v>1000</v>
      </c>
      <c r="F15">
        <f>Assumption!$B$4</f>
        <v>1000</v>
      </c>
      <c r="G15">
        <f t="shared" si="0"/>
        <v>3000</v>
      </c>
      <c r="H15">
        <f t="shared" si="1"/>
        <v>100</v>
      </c>
      <c r="L15">
        <v>50</v>
      </c>
      <c r="M15">
        <v>50</v>
      </c>
    </row>
    <row r="16" spans="1:20" x14ac:dyDescent="0.4">
      <c r="A16" t="s">
        <v>18</v>
      </c>
      <c r="B16" t="s">
        <v>33</v>
      </c>
      <c r="C16" t="s">
        <v>35</v>
      </c>
      <c r="D16">
        <f>Assumption!$B$2</f>
        <v>1000</v>
      </c>
      <c r="E16">
        <f>Assumption!$B$3</f>
        <v>1000</v>
      </c>
      <c r="F16">
        <f>Assumption!$B$4</f>
        <v>1000</v>
      </c>
      <c r="G16">
        <f t="shared" si="0"/>
        <v>3000</v>
      </c>
      <c r="H16">
        <f t="shared" si="1"/>
        <v>300</v>
      </c>
      <c r="N16">
        <v>50</v>
      </c>
      <c r="O16">
        <v>50</v>
      </c>
      <c r="P16">
        <v>50</v>
      </c>
      <c r="Q16">
        <v>50</v>
      </c>
      <c r="R16">
        <v>50</v>
      </c>
      <c r="S16">
        <v>50</v>
      </c>
    </row>
    <row r="17" spans="1:20" x14ac:dyDescent="0.4">
      <c r="A17" t="s">
        <v>18</v>
      </c>
      <c r="B17" t="s">
        <v>33</v>
      </c>
      <c r="C17" t="s">
        <v>36</v>
      </c>
      <c r="D17">
        <f>Assumption!$B$2</f>
        <v>1000</v>
      </c>
      <c r="E17">
        <f>Assumption!$B$3</f>
        <v>1000</v>
      </c>
      <c r="F17">
        <f>Assumption!$B$4</f>
        <v>1000</v>
      </c>
      <c r="G17">
        <f t="shared" si="0"/>
        <v>3000</v>
      </c>
      <c r="H17">
        <f t="shared" si="1"/>
        <v>100</v>
      </c>
      <c r="N17">
        <v>50</v>
      </c>
      <c r="O17">
        <v>50</v>
      </c>
    </row>
    <row r="18" spans="1:20" x14ac:dyDescent="0.4">
      <c r="A18" t="s">
        <v>18</v>
      </c>
      <c r="B18" t="s">
        <v>33</v>
      </c>
      <c r="C18" t="s">
        <v>37</v>
      </c>
      <c r="D18">
        <f>Assumption!$B$2</f>
        <v>1000</v>
      </c>
      <c r="E18">
        <f>Assumption!$B$3</f>
        <v>1000</v>
      </c>
      <c r="F18">
        <f>Assumption!$B$4</f>
        <v>1000</v>
      </c>
      <c r="G18">
        <f t="shared" si="0"/>
        <v>3000</v>
      </c>
      <c r="H18">
        <f t="shared" si="1"/>
        <v>100</v>
      </c>
      <c r="O18">
        <v>50</v>
      </c>
      <c r="P18">
        <v>50</v>
      </c>
    </row>
    <row r="19" spans="1:20" x14ac:dyDescent="0.4">
      <c r="A19" t="s">
        <v>18</v>
      </c>
      <c r="B19" t="s">
        <v>33</v>
      </c>
      <c r="C19" t="s">
        <v>38</v>
      </c>
      <c r="D19">
        <f>Assumption!$B$2</f>
        <v>1000</v>
      </c>
      <c r="E19">
        <f>Assumption!$B$3</f>
        <v>1000</v>
      </c>
      <c r="F19">
        <f>Assumption!$B$4</f>
        <v>1000</v>
      </c>
      <c r="G19">
        <f t="shared" si="0"/>
        <v>3000</v>
      </c>
      <c r="H19">
        <f t="shared" si="1"/>
        <v>100</v>
      </c>
      <c r="P19">
        <v>50</v>
      </c>
      <c r="Q19">
        <v>50</v>
      </c>
    </row>
    <row r="20" spans="1:20" x14ac:dyDescent="0.4">
      <c r="A20" t="s">
        <v>18</v>
      </c>
      <c r="B20" t="s">
        <v>33</v>
      </c>
      <c r="C20" t="s">
        <v>39</v>
      </c>
      <c r="D20">
        <f>Assumption!$B$2</f>
        <v>1000</v>
      </c>
      <c r="E20">
        <f>Assumption!$B$3</f>
        <v>1000</v>
      </c>
      <c r="F20">
        <f>Assumption!$B$4</f>
        <v>1000</v>
      </c>
      <c r="G20">
        <f t="shared" si="0"/>
        <v>3000</v>
      </c>
      <c r="H20">
        <f t="shared" si="1"/>
        <v>100</v>
      </c>
      <c r="Q20">
        <v>50</v>
      </c>
      <c r="R20">
        <v>50</v>
      </c>
    </row>
    <row r="21" spans="1:20" x14ac:dyDescent="0.4">
      <c r="A21" t="s">
        <v>18</v>
      </c>
      <c r="B21" t="s">
        <v>33</v>
      </c>
      <c r="C21" t="s">
        <v>40</v>
      </c>
      <c r="D21">
        <f>Assumption!$B$2</f>
        <v>1000</v>
      </c>
      <c r="E21">
        <f>Assumption!$B$3</f>
        <v>1000</v>
      </c>
      <c r="F21">
        <f>Assumption!$B$4</f>
        <v>1000</v>
      </c>
      <c r="G21">
        <f t="shared" si="0"/>
        <v>3000</v>
      </c>
      <c r="H21">
        <f t="shared" si="1"/>
        <v>100</v>
      </c>
      <c r="R21">
        <v>50</v>
      </c>
      <c r="S21">
        <v>50</v>
      </c>
    </row>
    <row r="22" spans="1:20" x14ac:dyDescent="0.4">
      <c r="A22" t="s">
        <v>18</v>
      </c>
      <c r="B22" t="s">
        <v>33</v>
      </c>
      <c r="C22" t="s">
        <v>41</v>
      </c>
      <c r="D22">
        <f>Assumption!$B$2</f>
        <v>1000</v>
      </c>
      <c r="E22">
        <f>Assumption!$B$3</f>
        <v>1000</v>
      </c>
      <c r="F22">
        <f>Assumption!$B$4</f>
        <v>1000</v>
      </c>
      <c r="G22">
        <f t="shared" si="0"/>
        <v>3000</v>
      </c>
      <c r="H22">
        <f t="shared" si="1"/>
        <v>100</v>
      </c>
      <c r="S22">
        <v>50</v>
      </c>
      <c r="T22">
        <v>50</v>
      </c>
    </row>
    <row r="23" spans="1:20" x14ac:dyDescent="0.4">
      <c r="A23" t="s">
        <v>18</v>
      </c>
      <c r="B23" t="s">
        <v>33</v>
      </c>
      <c r="C23" t="s">
        <v>42</v>
      </c>
      <c r="D23">
        <f>Assumption!$B$2</f>
        <v>1000</v>
      </c>
      <c r="E23">
        <f>Assumption!$B$3</f>
        <v>1000</v>
      </c>
      <c r="F23">
        <f>Assumption!$B$4</f>
        <v>1000</v>
      </c>
      <c r="G23">
        <f t="shared" si="0"/>
        <v>3000</v>
      </c>
      <c r="H23">
        <f t="shared" si="1"/>
        <v>50</v>
      </c>
      <c r="T23">
        <v>50</v>
      </c>
    </row>
    <row r="24" spans="1:20" x14ac:dyDescent="0.4">
      <c r="A24" t="s">
        <v>18</v>
      </c>
      <c r="B24" t="s">
        <v>33</v>
      </c>
      <c r="C24" t="s">
        <v>43</v>
      </c>
      <c r="D24">
        <f>Assumption!$B$2</f>
        <v>1000</v>
      </c>
      <c r="E24">
        <f>Assumption!$B$3</f>
        <v>1000</v>
      </c>
      <c r="F24">
        <f>Assumption!$B$4</f>
        <v>1000</v>
      </c>
      <c r="G24">
        <f t="shared" si="0"/>
        <v>3000</v>
      </c>
      <c r="H24">
        <f t="shared" si="1"/>
        <v>0</v>
      </c>
    </row>
    <row r="25" spans="1:20" x14ac:dyDescent="0.4">
      <c r="A25" t="s">
        <v>18</v>
      </c>
      <c r="B25" t="s">
        <v>33</v>
      </c>
      <c r="C25" t="s">
        <v>44</v>
      </c>
      <c r="D25">
        <f>Assumption!$B$2</f>
        <v>1000</v>
      </c>
      <c r="E25">
        <f>Assumption!$B$3</f>
        <v>1000</v>
      </c>
      <c r="F25">
        <f>Assumption!$B$4</f>
        <v>1000</v>
      </c>
      <c r="G25">
        <f t="shared" si="0"/>
        <v>3000</v>
      </c>
      <c r="H25">
        <f t="shared" si="1"/>
        <v>0</v>
      </c>
    </row>
    <row r="26" spans="1:20" x14ac:dyDescent="0.4">
      <c r="A26" t="s">
        <v>18</v>
      </c>
      <c r="B26" t="s">
        <v>45</v>
      </c>
      <c r="C26" t="s">
        <v>46</v>
      </c>
      <c r="D26">
        <f>Assumption!$B$2</f>
        <v>1000</v>
      </c>
      <c r="E26">
        <f>Assumption!$B$3</f>
        <v>1000</v>
      </c>
      <c r="F26">
        <f>Assumption!$B$4</f>
        <v>1000</v>
      </c>
      <c r="G26">
        <f t="shared" si="0"/>
        <v>3000</v>
      </c>
      <c r="H26">
        <f t="shared" si="1"/>
        <v>50</v>
      </c>
      <c r="I26">
        <v>0</v>
      </c>
      <c r="J26">
        <v>0</v>
      </c>
      <c r="K26">
        <v>0</v>
      </c>
      <c r="L26">
        <v>50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 x14ac:dyDescent="0.4">
      <c r="A27" t="s">
        <v>18</v>
      </c>
      <c r="B27" t="s">
        <v>45</v>
      </c>
      <c r="C27" t="s">
        <v>47</v>
      </c>
      <c r="D27">
        <f>Assumption!$B$2</f>
        <v>1000</v>
      </c>
      <c r="E27">
        <f>Assumption!$B$3</f>
        <v>1000</v>
      </c>
      <c r="F27">
        <f>Assumption!$B$4</f>
        <v>1000</v>
      </c>
      <c r="G27">
        <f t="shared" si="0"/>
        <v>3000</v>
      </c>
      <c r="H27">
        <f t="shared" si="1"/>
        <v>100</v>
      </c>
      <c r="I27">
        <v>0</v>
      </c>
      <c r="J27">
        <v>0</v>
      </c>
      <c r="K27">
        <v>0</v>
      </c>
      <c r="L27">
        <v>0</v>
      </c>
      <c r="M27">
        <v>50</v>
      </c>
      <c r="N27">
        <v>50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</row>
    <row r="28" spans="1:20" x14ac:dyDescent="0.4">
      <c r="A28" t="s">
        <v>18</v>
      </c>
      <c r="B28" t="s">
        <v>45</v>
      </c>
      <c r="C28" t="s">
        <v>48</v>
      </c>
      <c r="D28">
        <f>Assumption!$B$2</f>
        <v>1000</v>
      </c>
      <c r="E28">
        <f>Assumption!$B$3</f>
        <v>1000</v>
      </c>
      <c r="F28">
        <f>Assumption!$B$4</f>
        <v>1000</v>
      </c>
      <c r="G28">
        <f t="shared" si="0"/>
        <v>3000</v>
      </c>
      <c r="H28">
        <f t="shared" si="1"/>
        <v>150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50</v>
      </c>
      <c r="P28">
        <v>50</v>
      </c>
      <c r="Q28">
        <v>50</v>
      </c>
      <c r="R28">
        <v>0</v>
      </c>
      <c r="S28">
        <v>0</v>
      </c>
      <c r="T28">
        <v>0</v>
      </c>
    </row>
    <row r="29" spans="1:20" x14ac:dyDescent="0.4">
      <c r="A29" t="s">
        <v>18</v>
      </c>
      <c r="B29" t="s">
        <v>45</v>
      </c>
      <c r="C29" t="s">
        <v>49</v>
      </c>
      <c r="D29">
        <f>Assumption!$B$2</f>
        <v>1000</v>
      </c>
      <c r="E29">
        <f>Assumption!$B$3</f>
        <v>1000</v>
      </c>
      <c r="F29">
        <f>Assumption!$B$4</f>
        <v>1000</v>
      </c>
      <c r="G29">
        <f t="shared" si="0"/>
        <v>3000</v>
      </c>
      <c r="H29">
        <f t="shared" si="1"/>
        <v>150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50</v>
      </c>
      <c r="R29">
        <v>50</v>
      </c>
      <c r="S29">
        <v>50</v>
      </c>
      <c r="T29">
        <v>0</v>
      </c>
    </row>
    <row r="30" spans="1:20" x14ac:dyDescent="0.4">
      <c r="A30" t="s">
        <v>18</v>
      </c>
      <c r="B30" t="s">
        <v>45</v>
      </c>
      <c r="C30" t="s">
        <v>50</v>
      </c>
      <c r="D30">
        <f>Assumption!$B$2</f>
        <v>1000</v>
      </c>
      <c r="E30">
        <f>Assumption!$B$3</f>
        <v>1000</v>
      </c>
      <c r="F30">
        <f>Assumption!$B$4</f>
        <v>1000</v>
      </c>
      <c r="G30">
        <f t="shared" si="0"/>
        <v>3000</v>
      </c>
      <c r="H30">
        <f t="shared" si="1"/>
        <v>50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50</v>
      </c>
    </row>
    <row r="31" spans="1:20" x14ac:dyDescent="0.4">
      <c r="A31" t="s">
        <v>18</v>
      </c>
      <c r="B31" t="s">
        <v>51</v>
      </c>
      <c r="C31" t="s">
        <v>52</v>
      </c>
      <c r="D31">
        <f>Assumption!$B$2</f>
        <v>1000</v>
      </c>
      <c r="E31">
        <f>Assumption!$B$3</f>
        <v>1000</v>
      </c>
      <c r="F31">
        <f>Assumption!$B$4</f>
        <v>1000</v>
      </c>
      <c r="G31">
        <f t="shared" si="0"/>
        <v>3000</v>
      </c>
      <c r="H31">
        <f t="shared" si="1"/>
        <v>200</v>
      </c>
      <c r="Q31">
        <v>50</v>
      </c>
      <c r="R31">
        <v>50</v>
      </c>
      <c r="S31">
        <v>50</v>
      </c>
      <c r="T31">
        <v>50</v>
      </c>
    </row>
    <row r="32" spans="1:20" x14ac:dyDescent="0.4">
      <c r="A32" t="s">
        <v>18</v>
      </c>
      <c r="B32" t="s">
        <v>51</v>
      </c>
      <c r="C32" t="s">
        <v>53</v>
      </c>
      <c r="D32">
        <f>Assumption!$B$2</f>
        <v>1000</v>
      </c>
      <c r="E32">
        <f>Assumption!$B$3</f>
        <v>1000</v>
      </c>
      <c r="F32">
        <f>Assumption!$B$4</f>
        <v>1000</v>
      </c>
      <c r="G32">
        <f t="shared" si="0"/>
        <v>3000</v>
      </c>
      <c r="H32">
        <f t="shared" si="1"/>
        <v>0</v>
      </c>
    </row>
    <row r="33" spans="1:20" x14ac:dyDescent="0.4">
      <c r="A33" t="s">
        <v>18</v>
      </c>
      <c r="B33" t="s">
        <v>51</v>
      </c>
      <c r="C33" t="s">
        <v>54</v>
      </c>
      <c r="D33">
        <f>Assumption!$B$2</f>
        <v>1000</v>
      </c>
      <c r="E33">
        <f>Assumption!$B$3</f>
        <v>1000</v>
      </c>
      <c r="F33">
        <f>Assumption!$B$4</f>
        <v>1000</v>
      </c>
      <c r="G33">
        <f t="shared" si="0"/>
        <v>3000</v>
      </c>
      <c r="H33">
        <f t="shared" si="1"/>
        <v>0</v>
      </c>
    </row>
    <row r="34" spans="1:20" x14ac:dyDescent="0.4">
      <c r="A34" t="s">
        <v>18</v>
      </c>
      <c r="B34" t="s">
        <v>55</v>
      </c>
      <c r="C34" t="s">
        <v>56</v>
      </c>
      <c r="D34">
        <f>Assumption!$B$2</f>
        <v>1000</v>
      </c>
      <c r="E34">
        <f>Assumption!$B$3</f>
        <v>1000</v>
      </c>
      <c r="F34">
        <f>Assumption!$B$4</f>
        <v>1000</v>
      </c>
      <c r="G34">
        <f t="shared" si="0"/>
        <v>3000</v>
      </c>
      <c r="H34">
        <f t="shared" si="1"/>
        <v>200</v>
      </c>
      <c r="P34">
        <v>50</v>
      </c>
      <c r="Q34">
        <v>50</v>
      </c>
      <c r="R34">
        <v>50</v>
      </c>
      <c r="S34">
        <v>50</v>
      </c>
    </row>
    <row r="35" spans="1:20" x14ac:dyDescent="0.4">
      <c r="A35" t="s">
        <v>18</v>
      </c>
      <c r="B35" t="s">
        <v>55</v>
      </c>
      <c r="C35" t="s">
        <v>57</v>
      </c>
      <c r="D35">
        <f>Assumption!$B$2</f>
        <v>1000</v>
      </c>
      <c r="E35">
        <f>Assumption!$B$3</f>
        <v>1000</v>
      </c>
      <c r="F35">
        <f>Assumption!$B$4</f>
        <v>1000</v>
      </c>
      <c r="G35">
        <f t="shared" si="0"/>
        <v>3000</v>
      </c>
      <c r="H35">
        <f t="shared" si="1"/>
        <v>50</v>
      </c>
      <c r="T35">
        <v>50</v>
      </c>
    </row>
    <row r="36" spans="1:20" x14ac:dyDescent="0.4">
      <c r="A36" t="s">
        <v>18</v>
      </c>
      <c r="B36" t="s">
        <v>55</v>
      </c>
      <c r="C36" t="s">
        <v>58</v>
      </c>
      <c r="D36">
        <f>Assumption!$B$2</f>
        <v>1000</v>
      </c>
      <c r="E36">
        <f>Assumption!$B$3</f>
        <v>1000</v>
      </c>
      <c r="F36">
        <f>Assumption!$B$4</f>
        <v>1000</v>
      </c>
      <c r="G36">
        <f t="shared" si="0"/>
        <v>3000</v>
      </c>
      <c r="H36">
        <f t="shared" si="1"/>
        <v>0</v>
      </c>
    </row>
    <row r="37" spans="1:20" x14ac:dyDescent="0.4">
      <c r="A37" t="s">
        <v>18</v>
      </c>
      <c r="B37" t="s">
        <v>59</v>
      </c>
      <c r="C37" t="s">
        <v>60</v>
      </c>
      <c r="D37">
        <f>Assumption!$B$2</f>
        <v>1000</v>
      </c>
      <c r="E37">
        <f>Assumption!$B$3</f>
        <v>1000</v>
      </c>
      <c r="F37">
        <f>Assumption!$B$4</f>
        <v>1000</v>
      </c>
      <c r="G37">
        <f t="shared" si="0"/>
        <v>3000</v>
      </c>
      <c r="H37">
        <f t="shared" si="1"/>
        <v>250</v>
      </c>
      <c r="I37">
        <v>50</v>
      </c>
      <c r="K37">
        <v>50</v>
      </c>
      <c r="O37">
        <v>50</v>
      </c>
      <c r="P37">
        <v>50</v>
      </c>
      <c r="Q37">
        <v>50</v>
      </c>
    </row>
    <row r="38" spans="1:20" x14ac:dyDescent="0.4">
      <c r="A38" t="s">
        <v>18</v>
      </c>
      <c r="B38" t="s">
        <v>61</v>
      </c>
      <c r="C38" t="s">
        <v>61</v>
      </c>
      <c r="D38">
        <f>Assumption!$B$2</f>
        <v>1000</v>
      </c>
      <c r="E38">
        <f>Assumption!$B$3</f>
        <v>1000</v>
      </c>
      <c r="F38">
        <f>Assumption!$B$4</f>
        <v>1000</v>
      </c>
      <c r="G38">
        <f t="shared" si="0"/>
        <v>3000</v>
      </c>
      <c r="H38">
        <f t="shared" si="1"/>
        <v>100</v>
      </c>
      <c r="I38">
        <v>50</v>
      </c>
      <c r="K38">
        <v>50</v>
      </c>
    </row>
    <row r="39" spans="1:20" x14ac:dyDescent="0.4">
      <c r="A39" t="s">
        <v>18</v>
      </c>
      <c r="B39" t="s">
        <v>62</v>
      </c>
      <c r="C39" t="s">
        <v>62</v>
      </c>
      <c r="D39">
        <f>Assumption!$B$2</f>
        <v>1000</v>
      </c>
      <c r="E39">
        <f>Assumption!$B$3</f>
        <v>1000</v>
      </c>
      <c r="F39">
        <f>Assumption!$B$4</f>
        <v>1000</v>
      </c>
      <c r="G39">
        <f t="shared" si="0"/>
        <v>3000</v>
      </c>
      <c r="H39">
        <f t="shared" si="1"/>
        <v>100</v>
      </c>
      <c r="J39">
        <v>50</v>
      </c>
      <c r="L39">
        <v>50</v>
      </c>
    </row>
    <row r="40" spans="1:20" x14ac:dyDescent="0.4">
      <c r="A40" t="s">
        <v>18</v>
      </c>
      <c r="B40" t="s">
        <v>63</v>
      </c>
      <c r="C40" t="s">
        <v>63</v>
      </c>
      <c r="D40">
        <f>Assumption!$B$2</f>
        <v>1000</v>
      </c>
      <c r="E40">
        <f>Assumption!$B$3</f>
        <v>1000</v>
      </c>
      <c r="F40">
        <f>Assumption!$B$4</f>
        <v>1000</v>
      </c>
      <c r="G40">
        <f t="shared" si="0"/>
        <v>3000</v>
      </c>
      <c r="H40">
        <f t="shared" si="1"/>
        <v>50</v>
      </c>
      <c r="O40">
        <v>50</v>
      </c>
    </row>
    <row r="41" spans="1:20" x14ac:dyDescent="0.4">
      <c r="A41" t="s">
        <v>18</v>
      </c>
      <c r="B41" t="s">
        <v>64</v>
      </c>
      <c r="C41" t="s">
        <v>64</v>
      </c>
      <c r="D41">
        <f>Assumption!$B$2</f>
        <v>1000</v>
      </c>
      <c r="E41">
        <f>Assumption!$B$3</f>
        <v>1000</v>
      </c>
      <c r="F41">
        <f>Assumption!$B$4</f>
        <v>1000</v>
      </c>
      <c r="G41">
        <f t="shared" si="0"/>
        <v>3000</v>
      </c>
      <c r="H41">
        <f t="shared" si="1"/>
        <v>0</v>
      </c>
    </row>
    <row r="42" spans="1:20" x14ac:dyDescent="0.4">
      <c r="A42" t="s">
        <v>65</v>
      </c>
      <c r="B42" t="s">
        <v>66</v>
      </c>
      <c r="C42" t="s">
        <v>67</v>
      </c>
      <c r="D42">
        <f>Assumption!$B$2</f>
        <v>1000</v>
      </c>
      <c r="E42">
        <f>Assumption!$B$3</f>
        <v>1000</v>
      </c>
      <c r="F42">
        <f>Assumption!$B$4</f>
        <v>1000</v>
      </c>
      <c r="G42">
        <f t="shared" si="0"/>
        <v>3000</v>
      </c>
      <c r="H42">
        <f t="shared" si="1"/>
        <v>0</v>
      </c>
    </row>
    <row r="43" spans="1:20" x14ac:dyDescent="0.4">
      <c r="A43" t="s">
        <v>65</v>
      </c>
      <c r="B43" t="s">
        <v>68</v>
      </c>
      <c r="C43" t="s">
        <v>69</v>
      </c>
      <c r="D43">
        <f>Assumption!$B$2</f>
        <v>1000</v>
      </c>
      <c r="E43">
        <f>Assumption!$B$3</f>
        <v>1000</v>
      </c>
      <c r="F43">
        <f>Assumption!$B$4</f>
        <v>1000</v>
      </c>
      <c r="G43">
        <f t="shared" si="0"/>
        <v>3000</v>
      </c>
      <c r="H43">
        <f t="shared" si="1"/>
        <v>200</v>
      </c>
      <c r="M43">
        <v>50</v>
      </c>
      <c r="N43">
        <v>50</v>
      </c>
      <c r="O43">
        <v>50</v>
      </c>
      <c r="P43">
        <v>50</v>
      </c>
    </row>
    <row r="44" spans="1:20" x14ac:dyDescent="0.4">
      <c r="A44" t="s">
        <v>65</v>
      </c>
      <c r="B44" t="s">
        <v>68</v>
      </c>
      <c r="C44" t="s">
        <v>70</v>
      </c>
      <c r="D44">
        <f>Assumption!$B$2</f>
        <v>1000</v>
      </c>
      <c r="E44">
        <f>Assumption!$B$3</f>
        <v>1000</v>
      </c>
      <c r="F44">
        <f>Assumption!$B$4</f>
        <v>1000</v>
      </c>
      <c r="G44">
        <f t="shared" si="0"/>
        <v>3000</v>
      </c>
      <c r="H44">
        <f t="shared" si="1"/>
        <v>200</v>
      </c>
      <c r="P44">
        <v>50</v>
      </c>
      <c r="Q44">
        <v>50</v>
      </c>
      <c r="R44">
        <v>50</v>
      </c>
      <c r="S44">
        <v>50</v>
      </c>
    </row>
    <row r="45" spans="1:20" x14ac:dyDescent="0.4">
      <c r="A45" t="s">
        <v>65</v>
      </c>
      <c r="B45" t="s">
        <v>68</v>
      </c>
      <c r="C45" t="s">
        <v>71</v>
      </c>
      <c r="D45">
        <f>Assumption!$B$2</f>
        <v>1000</v>
      </c>
      <c r="E45">
        <f>Assumption!$B$3</f>
        <v>1000</v>
      </c>
      <c r="F45">
        <f>Assumption!$B$4</f>
        <v>1000</v>
      </c>
      <c r="G45">
        <f t="shared" si="0"/>
        <v>3000</v>
      </c>
      <c r="H45">
        <f t="shared" si="1"/>
        <v>50</v>
      </c>
      <c r="T45">
        <v>50</v>
      </c>
    </row>
    <row r="46" spans="1:20" x14ac:dyDescent="0.4">
      <c r="A46" t="s">
        <v>65</v>
      </c>
      <c r="B46" t="s">
        <v>72</v>
      </c>
      <c r="C46" t="s">
        <v>73</v>
      </c>
      <c r="D46">
        <f>Assumption!$B$2</f>
        <v>1000</v>
      </c>
      <c r="E46">
        <f>Assumption!$B$3</f>
        <v>1000</v>
      </c>
      <c r="F46">
        <f>Assumption!$B$4</f>
        <v>1000</v>
      </c>
      <c r="G46">
        <f t="shared" si="0"/>
        <v>3000</v>
      </c>
      <c r="H46">
        <f t="shared" si="1"/>
        <v>200</v>
      </c>
      <c r="N46">
        <v>50</v>
      </c>
      <c r="O46">
        <v>50</v>
      </c>
      <c r="P46">
        <v>50</v>
      </c>
      <c r="Q46">
        <v>50</v>
      </c>
    </row>
    <row r="47" spans="1:20" x14ac:dyDescent="0.4">
      <c r="A47" t="s">
        <v>65</v>
      </c>
      <c r="B47" t="s">
        <v>72</v>
      </c>
      <c r="C47" t="s">
        <v>74</v>
      </c>
      <c r="D47">
        <f>Assumption!$B$2</f>
        <v>1000</v>
      </c>
      <c r="E47">
        <f>Assumption!$B$3</f>
        <v>1000</v>
      </c>
      <c r="F47">
        <f>Assumption!$B$4</f>
        <v>1000</v>
      </c>
      <c r="G47">
        <f t="shared" si="0"/>
        <v>3000</v>
      </c>
      <c r="H47">
        <f t="shared" si="1"/>
        <v>200</v>
      </c>
      <c r="Q47">
        <v>50</v>
      </c>
      <c r="R47">
        <v>50</v>
      </c>
      <c r="S47">
        <v>50</v>
      </c>
      <c r="T47">
        <v>50</v>
      </c>
    </row>
    <row r="48" spans="1:20" x14ac:dyDescent="0.4">
      <c r="A48" t="s">
        <v>65</v>
      </c>
      <c r="B48" t="s">
        <v>72</v>
      </c>
      <c r="C48" t="s">
        <v>75</v>
      </c>
      <c r="D48">
        <f>Assumption!$B$2</f>
        <v>1000</v>
      </c>
      <c r="E48">
        <f>Assumption!$B$3</f>
        <v>1000</v>
      </c>
      <c r="F48">
        <f>Assumption!$B$4</f>
        <v>1000</v>
      </c>
      <c r="G48">
        <f t="shared" si="0"/>
        <v>3000</v>
      </c>
      <c r="H48">
        <f t="shared" si="1"/>
        <v>0</v>
      </c>
    </row>
    <row r="49" spans="1:20" x14ac:dyDescent="0.4">
      <c r="A49" t="s">
        <v>65</v>
      </c>
      <c r="B49" t="s">
        <v>76</v>
      </c>
      <c r="C49" t="s">
        <v>77</v>
      </c>
      <c r="D49">
        <f>Assumption!$B$2</f>
        <v>1000</v>
      </c>
      <c r="E49">
        <f>Assumption!$B$3</f>
        <v>1000</v>
      </c>
      <c r="F49">
        <f>Assumption!$B$4</f>
        <v>1000</v>
      </c>
      <c r="G49">
        <f t="shared" si="0"/>
        <v>3000</v>
      </c>
      <c r="H49">
        <f t="shared" si="1"/>
        <v>200</v>
      </c>
      <c r="M49">
        <v>50</v>
      </c>
      <c r="N49">
        <v>50</v>
      </c>
      <c r="O49">
        <v>50</v>
      </c>
      <c r="P49">
        <v>50</v>
      </c>
    </row>
    <row r="50" spans="1:20" x14ac:dyDescent="0.4">
      <c r="A50" t="s">
        <v>65</v>
      </c>
      <c r="B50" t="s">
        <v>76</v>
      </c>
      <c r="C50" t="s">
        <v>78</v>
      </c>
      <c r="D50">
        <f>Assumption!$B$2</f>
        <v>1000</v>
      </c>
      <c r="E50">
        <f>Assumption!$B$3</f>
        <v>1000</v>
      </c>
      <c r="F50">
        <f>Assumption!$B$4</f>
        <v>1000</v>
      </c>
      <c r="G50">
        <f t="shared" si="0"/>
        <v>3000</v>
      </c>
      <c r="H50">
        <f t="shared" si="1"/>
        <v>200</v>
      </c>
      <c r="P50">
        <v>50</v>
      </c>
      <c r="Q50">
        <v>50</v>
      </c>
      <c r="R50">
        <v>50</v>
      </c>
      <c r="S50">
        <v>50</v>
      </c>
    </row>
    <row r="51" spans="1:20" x14ac:dyDescent="0.4">
      <c r="A51" t="s">
        <v>65</v>
      </c>
      <c r="B51" t="s">
        <v>76</v>
      </c>
      <c r="C51" t="s">
        <v>79</v>
      </c>
      <c r="D51">
        <f>Assumption!$B$2</f>
        <v>1000</v>
      </c>
      <c r="E51">
        <f>Assumption!$B$3</f>
        <v>1000</v>
      </c>
      <c r="F51">
        <f>Assumption!$B$4</f>
        <v>1000</v>
      </c>
      <c r="G51">
        <f t="shared" si="0"/>
        <v>3000</v>
      </c>
      <c r="H51">
        <f t="shared" si="1"/>
        <v>50</v>
      </c>
      <c r="T51">
        <v>50</v>
      </c>
    </row>
    <row r="52" spans="1:20" x14ac:dyDescent="0.4">
      <c r="A52" t="s">
        <v>65</v>
      </c>
      <c r="B52" t="s">
        <v>76</v>
      </c>
      <c r="C52" t="s">
        <v>80</v>
      </c>
      <c r="D52">
        <f>Assumption!$B$2</f>
        <v>1000</v>
      </c>
      <c r="E52">
        <f>Assumption!$B$3</f>
        <v>1000</v>
      </c>
      <c r="F52">
        <f>Assumption!$B$4</f>
        <v>1000</v>
      </c>
      <c r="G52">
        <f t="shared" si="0"/>
        <v>3000</v>
      </c>
      <c r="H52">
        <f t="shared" si="1"/>
        <v>0</v>
      </c>
    </row>
    <row r="53" spans="1:20" x14ac:dyDescent="0.4">
      <c r="A53" t="s">
        <v>65</v>
      </c>
      <c r="B53" t="s">
        <v>76</v>
      </c>
      <c r="C53" t="s">
        <v>81</v>
      </c>
      <c r="D53">
        <f>Assumption!$B$2</f>
        <v>1000</v>
      </c>
      <c r="E53">
        <f>Assumption!$B$3</f>
        <v>1000</v>
      </c>
      <c r="F53">
        <f>Assumption!$B$4</f>
        <v>1000</v>
      </c>
      <c r="G53">
        <f t="shared" si="0"/>
        <v>3000</v>
      </c>
      <c r="H53">
        <f t="shared" si="1"/>
        <v>0</v>
      </c>
    </row>
    <row r="54" spans="1:20" x14ac:dyDescent="0.4">
      <c r="A54" t="s">
        <v>65</v>
      </c>
      <c r="B54" t="s">
        <v>82</v>
      </c>
      <c r="C54" t="s">
        <v>83</v>
      </c>
      <c r="D54">
        <f>Assumption!$B$2</f>
        <v>1000</v>
      </c>
      <c r="E54">
        <f>Assumption!$B$3</f>
        <v>1000</v>
      </c>
      <c r="F54">
        <f>Assumption!$B$4</f>
        <v>1000</v>
      </c>
      <c r="G54">
        <f t="shared" si="0"/>
        <v>3000</v>
      </c>
      <c r="H54">
        <f t="shared" si="1"/>
        <v>150</v>
      </c>
      <c r="Q54">
        <v>50</v>
      </c>
      <c r="R54">
        <v>50</v>
      </c>
      <c r="S54">
        <v>50</v>
      </c>
    </row>
    <row r="55" spans="1:20" x14ac:dyDescent="0.4">
      <c r="A55" t="s">
        <v>65</v>
      </c>
      <c r="B55" t="s">
        <v>82</v>
      </c>
      <c r="C55" t="s">
        <v>84</v>
      </c>
      <c r="D55">
        <f>Assumption!$B$2</f>
        <v>1000</v>
      </c>
      <c r="E55">
        <f>Assumption!$B$3</f>
        <v>1000</v>
      </c>
      <c r="F55">
        <f>Assumption!$B$4</f>
        <v>1000</v>
      </c>
      <c r="G55">
        <f t="shared" si="0"/>
        <v>3000</v>
      </c>
      <c r="H55">
        <f t="shared" si="1"/>
        <v>0</v>
      </c>
    </row>
    <row r="56" spans="1:20" x14ac:dyDescent="0.4">
      <c r="A56" t="s">
        <v>65</v>
      </c>
      <c r="B56" t="s">
        <v>82</v>
      </c>
      <c r="C56" t="s">
        <v>85</v>
      </c>
      <c r="D56">
        <f>Assumption!$B$2</f>
        <v>1000</v>
      </c>
      <c r="E56">
        <f>Assumption!$B$3</f>
        <v>1000</v>
      </c>
      <c r="F56">
        <f>Assumption!$B$4</f>
        <v>1000</v>
      </c>
      <c r="G56">
        <f t="shared" si="0"/>
        <v>3000</v>
      </c>
      <c r="H56">
        <f t="shared" si="1"/>
        <v>0</v>
      </c>
    </row>
    <row r="57" spans="1:20" x14ac:dyDescent="0.4">
      <c r="A57" t="s">
        <v>65</v>
      </c>
      <c r="B57" t="s">
        <v>86</v>
      </c>
      <c r="C57" t="s">
        <v>86</v>
      </c>
      <c r="D57">
        <f>Assumption!$B$2</f>
        <v>1000</v>
      </c>
      <c r="E57">
        <f>Assumption!$B$3</f>
        <v>1000</v>
      </c>
      <c r="F57">
        <f>Assumption!$B$4</f>
        <v>1000</v>
      </c>
      <c r="G57">
        <f t="shared" si="0"/>
        <v>3000</v>
      </c>
      <c r="H57">
        <f t="shared" si="1"/>
        <v>50</v>
      </c>
      <c r="K57">
        <v>50</v>
      </c>
    </row>
    <row r="58" spans="1:20" x14ac:dyDescent="0.4">
      <c r="A58" t="s">
        <v>65</v>
      </c>
      <c r="B58" t="s">
        <v>87</v>
      </c>
      <c r="C58" t="s">
        <v>87</v>
      </c>
      <c r="D58">
        <f>Assumption!$B$2</f>
        <v>1000</v>
      </c>
      <c r="E58">
        <f>Assumption!$B$3</f>
        <v>1000</v>
      </c>
      <c r="F58">
        <f>Assumption!$B$4</f>
        <v>1000</v>
      </c>
      <c r="G58">
        <f t="shared" si="0"/>
        <v>3000</v>
      </c>
      <c r="H58">
        <f t="shared" si="1"/>
        <v>100</v>
      </c>
      <c r="J58">
        <v>50</v>
      </c>
      <c r="K58">
        <v>50</v>
      </c>
    </row>
    <row r="59" spans="1:20" x14ac:dyDescent="0.4">
      <c r="A59" t="s">
        <v>65</v>
      </c>
      <c r="B59" t="s">
        <v>88</v>
      </c>
      <c r="C59" t="s">
        <v>88</v>
      </c>
      <c r="D59">
        <f>Assumption!$B$2</f>
        <v>1000</v>
      </c>
      <c r="E59">
        <f>Assumption!$B$3</f>
        <v>1000</v>
      </c>
      <c r="F59">
        <f>Assumption!$B$4</f>
        <v>1000</v>
      </c>
      <c r="G59">
        <f t="shared" si="0"/>
        <v>3000</v>
      </c>
      <c r="H59">
        <f t="shared" si="1"/>
        <v>50</v>
      </c>
      <c r="J59">
        <v>50</v>
      </c>
    </row>
    <row r="60" spans="1:20" x14ac:dyDescent="0.4">
      <c r="A60" t="s">
        <v>65</v>
      </c>
      <c r="B60" t="s">
        <v>89</v>
      </c>
      <c r="C60" t="s">
        <v>89</v>
      </c>
      <c r="D60">
        <f>Assumption!$B$2</f>
        <v>1000</v>
      </c>
      <c r="E60">
        <f>Assumption!$B$3</f>
        <v>1000</v>
      </c>
      <c r="F60">
        <f>Assumption!$B$4</f>
        <v>1000</v>
      </c>
      <c r="G60">
        <f t="shared" si="0"/>
        <v>3000</v>
      </c>
      <c r="H60">
        <f t="shared" si="1"/>
        <v>50</v>
      </c>
      <c r="K60">
        <v>50</v>
      </c>
    </row>
    <row r="61" spans="1:20" x14ac:dyDescent="0.4">
      <c r="A61" t="s">
        <v>65</v>
      </c>
      <c r="B61" t="s">
        <v>90</v>
      </c>
      <c r="C61" t="s">
        <v>90</v>
      </c>
      <c r="D61">
        <f>Assumption!$B$2</f>
        <v>1000</v>
      </c>
      <c r="E61">
        <f>Assumption!$B$3</f>
        <v>1000</v>
      </c>
      <c r="F61">
        <f>Assumption!$B$4</f>
        <v>1000</v>
      </c>
      <c r="G61">
        <f t="shared" si="0"/>
        <v>3000</v>
      </c>
      <c r="H61">
        <f t="shared" si="1"/>
        <v>50</v>
      </c>
      <c r="K61">
        <v>50</v>
      </c>
    </row>
    <row r="62" spans="1:20" x14ac:dyDescent="0.4">
      <c r="A62" t="s">
        <v>65</v>
      </c>
      <c r="B62" t="s">
        <v>91</v>
      </c>
      <c r="C62" t="s">
        <v>91</v>
      </c>
      <c r="D62">
        <f>Assumption!$B$2</f>
        <v>1000</v>
      </c>
      <c r="E62">
        <f>Assumption!$B$3</f>
        <v>1000</v>
      </c>
      <c r="F62">
        <f>Assumption!$B$4</f>
        <v>1000</v>
      </c>
      <c r="G62">
        <f t="shared" si="0"/>
        <v>3000</v>
      </c>
      <c r="H62">
        <f t="shared" si="1"/>
        <v>100</v>
      </c>
      <c r="K62">
        <v>50</v>
      </c>
      <c r="L62">
        <v>50</v>
      </c>
    </row>
    <row r="63" spans="1:20" x14ac:dyDescent="0.4">
      <c r="A63" t="s">
        <v>92</v>
      </c>
      <c r="B63" t="s">
        <v>93</v>
      </c>
      <c r="C63" t="s">
        <v>94</v>
      </c>
      <c r="D63">
        <f>Assumption!$B$2</f>
        <v>1000</v>
      </c>
      <c r="E63">
        <f>Assumption!$B$3</f>
        <v>1000</v>
      </c>
      <c r="F63">
        <f>Assumption!$B$4</f>
        <v>1000</v>
      </c>
      <c r="G63">
        <f t="shared" si="0"/>
        <v>3000</v>
      </c>
      <c r="H63">
        <f t="shared" si="1"/>
        <v>200</v>
      </c>
      <c r="Q63">
        <v>50</v>
      </c>
      <c r="R63">
        <v>50</v>
      </c>
      <c r="S63">
        <v>50</v>
      </c>
      <c r="T63">
        <v>50</v>
      </c>
    </row>
    <row r="64" spans="1:20" x14ac:dyDescent="0.4">
      <c r="A64" t="s">
        <v>92</v>
      </c>
      <c r="B64" t="s">
        <v>93</v>
      </c>
      <c r="C64" t="s">
        <v>95</v>
      </c>
      <c r="D64">
        <f>Assumption!$B$2</f>
        <v>1000</v>
      </c>
      <c r="E64">
        <f>Assumption!$B$3</f>
        <v>1000</v>
      </c>
      <c r="F64">
        <f>Assumption!$B$4</f>
        <v>1000</v>
      </c>
      <c r="G64">
        <f t="shared" si="0"/>
        <v>3000</v>
      </c>
      <c r="H64">
        <f t="shared" si="1"/>
        <v>100</v>
      </c>
      <c r="S64">
        <v>50</v>
      </c>
      <c r="T64">
        <v>50</v>
      </c>
    </row>
    <row r="65" spans="1:20" x14ac:dyDescent="0.4">
      <c r="A65" t="s">
        <v>92</v>
      </c>
      <c r="B65" t="s">
        <v>93</v>
      </c>
      <c r="C65" t="s">
        <v>96</v>
      </c>
      <c r="D65">
        <f>Assumption!$B$2</f>
        <v>1000</v>
      </c>
      <c r="E65">
        <f>Assumption!$B$3</f>
        <v>1000</v>
      </c>
      <c r="F65">
        <f>Assumption!$B$4</f>
        <v>1000</v>
      </c>
      <c r="G65">
        <f t="shared" si="0"/>
        <v>3000</v>
      </c>
      <c r="H65">
        <f t="shared" si="1"/>
        <v>0</v>
      </c>
    </row>
    <row r="66" spans="1:20" x14ac:dyDescent="0.4">
      <c r="A66" t="s">
        <v>92</v>
      </c>
      <c r="B66" t="s">
        <v>93</v>
      </c>
      <c r="C66" t="s">
        <v>97</v>
      </c>
      <c r="D66">
        <f>Assumption!$B$2</f>
        <v>1000</v>
      </c>
      <c r="E66">
        <f>Assumption!$B$3</f>
        <v>1000</v>
      </c>
      <c r="F66">
        <f>Assumption!$B$4</f>
        <v>1000</v>
      </c>
      <c r="G66">
        <f t="shared" si="0"/>
        <v>3000</v>
      </c>
      <c r="H66">
        <f t="shared" si="1"/>
        <v>0</v>
      </c>
    </row>
    <row r="67" spans="1:20" x14ac:dyDescent="0.4">
      <c r="A67" t="s">
        <v>92</v>
      </c>
      <c r="B67" t="s">
        <v>98</v>
      </c>
      <c r="C67" t="s">
        <v>99</v>
      </c>
      <c r="D67">
        <f>Assumption!$B$2</f>
        <v>1000</v>
      </c>
      <c r="E67">
        <f>Assumption!$B$3</f>
        <v>1000</v>
      </c>
      <c r="F67">
        <f>Assumption!$B$4</f>
        <v>1000</v>
      </c>
      <c r="G67">
        <f t="shared" ref="G67:G95" si="2">SUM(D67:F67)</f>
        <v>3000</v>
      </c>
      <c r="H67">
        <f t="shared" ref="H67:H95" si="3">SUM(I67:T67)</f>
        <v>200</v>
      </c>
      <c r="Q67">
        <v>50</v>
      </c>
      <c r="R67">
        <v>50</v>
      </c>
      <c r="S67">
        <v>50</v>
      </c>
      <c r="T67">
        <v>50</v>
      </c>
    </row>
    <row r="68" spans="1:20" x14ac:dyDescent="0.4">
      <c r="A68" t="s">
        <v>92</v>
      </c>
      <c r="B68" t="s">
        <v>98</v>
      </c>
      <c r="C68" t="s">
        <v>100</v>
      </c>
      <c r="D68">
        <f>Assumption!$B$2</f>
        <v>1000</v>
      </c>
      <c r="E68">
        <f>Assumption!$B$3</f>
        <v>1000</v>
      </c>
      <c r="F68">
        <f>Assumption!$B$4</f>
        <v>1000</v>
      </c>
      <c r="G68">
        <f t="shared" si="2"/>
        <v>3000</v>
      </c>
      <c r="H68">
        <f t="shared" si="3"/>
        <v>100</v>
      </c>
      <c r="S68">
        <v>50</v>
      </c>
      <c r="T68">
        <v>50</v>
      </c>
    </row>
    <row r="69" spans="1:20" x14ac:dyDescent="0.4">
      <c r="A69" t="s">
        <v>92</v>
      </c>
      <c r="B69" t="s">
        <v>101</v>
      </c>
      <c r="C69" t="s">
        <v>102</v>
      </c>
      <c r="D69">
        <f>Assumption!$B$2</f>
        <v>1000</v>
      </c>
      <c r="E69">
        <f>Assumption!$B$3</f>
        <v>1000</v>
      </c>
      <c r="F69">
        <f>Assumption!$B$4</f>
        <v>1000</v>
      </c>
      <c r="G69">
        <f t="shared" si="2"/>
        <v>3000</v>
      </c>
      <c r="H69">
        <f t="shared" si="3"/>
        <v>200</v>
      </c>
      <c r="Q69">
        <v>50</v>
      </c>
      <c r="R69">
        <v>50</v>
      </c>
      <c r="S69">
        <v>50</v>
      </c>
      <c r="T69">
        <v>50</v>
      </c>
    </row>
    <row r="70" spans="1:20" x14ac:dyDescent="0.4">
      <c r="A70" t="s">
        <v>92</v>
      </c>
      <c r="B70" t="s">
        <v>101</v>
      </c>
      <c r="C70" t="s">
        <v>103</v>
      </c>
      <c r="D70">
        <f>Assumption!$B$2</f>
        <v>1000</v>
      </c>
      <c r="E70">
        <f>Assumption!$B$3</f>
        <v>1000</v>
      </c>
      <c r="F70">
        <f>Assumption!$B$4</f>
        <v>1000</v>
      </c>
      <c r="G70">
        <f t="shared" si="2"/>
        <v>3000</v>
      </c>
      <c r="H70">
        <f t="shared" si="3"/>
        <v>0</v>
      </c>
    </row>
    <row r="71" spans="1:20" x14ac:dyDescent="0.4">
      <c r="A71" t="s">
        <v>92</v>
      </c>
      <c r="B71" t="s">
        <v>101</v>
      </c>
      <c r="C71" t="s">
        <v>104</v>
      </c>
      <c r="D71">
        <f>Assumption!$B$2</f>
        <v>1000</v>
      </c>
      <c r="E71">
        <f>Assumption!$B$3</f>
        <v>1000</v>
      </c>
      <c r="F71">
        <f>Assumption!$B$4</f>
        <v>1000</v>
      </c>
      <c r="G71">
        <f t="shared" si="2"/>
        <v>3000</v>
      </c>
      <c r="H71">
        <f t="shared" si="3"/>
        <v>0</v>
      </c>
    </row>
    <row r="72" spans="1:20" x14ac:dyDescent="0.4">
      <c r="A72" t="s">
        <v>92</v>
      </c>
      <c r="B72" t="s">
        <v>101</v>
      </c>
      <c r="C72" t="s">
        <v>105</v>
      </c>
      <c r="D72">
        <f>Assumption!$B$2</f>
        <v>1000</v>
      </c>
      <c r="E72">
        <f>Assumption!$B$3</f>
        <v>1000</v>
      </c>
      <c r="F72">
        <f>Assumption!$B$4</f>
        <v>1000</v>
      </c>
      <c r="G72">
        <f t="shared" si="2"/>
        <v>3000</v>
      </c>
      <c r="H72">
        <f t="shared" si="3"/>
        <v>0</v>
      </c>
    </row>
    <row r="73" spans="1:20" x14ac:dyDescent="0.4">
      <c r="A73" t="s">
        <v>92</v>
      </c>
      <c r="B73" t="s">
        <v>106</v>
      </c>
      <c r="C73" t="s">
        <v>107</v>
      </c>
      <c r="D73">
        <f>Assumption!$B$2</f>
        <v>1000</v>
      </c>
      <c r="E73">
        <f>Assumption!$B$3</f>
        <v>1000</v>
      </c>
      <c r="F73">
        <f>Assumption!$B$4</f>
        <v>1000</v>
      </c>
      <c r="G73">
        <f t="shared" si="2"/>
        <v>3000</v>
      </c>
      <c r="H73">
        <f t="shared" si="3"/>
        <v>200</v>
      </c>
      <c r="Q73">
        <v>50</v>
      </c>
      <c r="R73">
        <v>50</v>
      </c>
      <c r="S73">
        <v>50</v>
      </c>
      <c r="T73">
        <v>50</v>
      </c>
    </row>
    <row r="74" spans="1:20" x14ac:dyDescent="0.4">
      <c r="A74" t="s">
        <v>92</v>
      </c>
      <c r="B74" t="s">
        <v>106</v>
      </c>
      <c r="C74" t="s">
        <v>108</v>
      </c>
      <c r="D74">
        <f>Assumption!$B$2</f>
        <v>1000</v>
      </c>
      <c r="E74">
        <f>Assumption!$B$3</f>
        <v>1000</v>
      </c>
      <c r="F74">
        <f>Assumption!$B$4</f>
        <v>1000</v>
      </c>
      <c r="G74">
        <f t="shared" si="2"/>
        <v>3000</v>
      </c>
      <c r="H74">
        <f t="shared" si="3"/>
        <v>100</v>
      </c>
      <c r="S74">
        <v>50</v>
      </c>
      <c r="T74">
        <v>50</v>
      </c>
    </row>
    <row r="75" spans="1:20" x14ac:dyDescent="0.4">
      <c r="A75" t="s">
        <v>92</v>
      </c>
      <c r="B75" t="s">
        <v>106</v>
      </c>
      <c r="C75" t="s">
        <v>109</v>
      </c>
      <c r="D75">
        <f>Assumption!$B$2</f>
        <v>1000</v>
      </c>
      <c r="E75">
        <f>Assumption!$B$3</f>
        <v>1000</v>
      </c>
      <c r="F75">
        <f>Assumption!$B$4</f>
        <v>1000</v>
      </c>
      <c r="G75">
        <f t="shared" si="2"/>
        <v>3000</v>
      </c>
      <c r="H75">
        <f t="shared" si="3"/>
        <v>0</v>
      </c>
    </row>
    <row r="76" spans="1:20" x14ac:dyDescent="0.4">
      <c r="A76" t="s">
        <v>92</v>
      </c>
      <c r="B76" t="s">
        <v>110</v>
      </c>
      <c r="C76" t="s">
        <v>111</v>
      </c>
      <c r="D76">
        <f>Assumption!$B$2</f>
        <v>1000</v>
      </c>
      <c r="E76">
        <f>Assumption!$B$3</f>
        <v>1000</v>
      </c>
      <c r="F76">
        <f>Assumption!$B$4</f>
        <v>1000</v>
      </c>
      <c r="G76">
        <f t="shared" si="2"/>
        <v>3000</v>
      </c>
      <c r="H76">
        <f t="shared" si="3"/>
        <v>0</v>
      </c>
    </row>
    <row r="77" spans="1:20" x14ac:dyDescent="0.4">
      <c r="A77" t="s">
        <v>112</v>
      </c>
      <c r="B77" t="s">
        <v>113</v>
      </c>
      <c r="C77" t="s">
        <v>114</v>
      </c>
      <c r="D77">
        <f>Assumption!$B$2</f>
        <v>1000</v>
      </c>
      <c r="E77">
        <f>Assumption!$B$3</f>
        <v>1000</v>
      </c>
      <c r="F77">
        <f>Assumption!$B$4</f>
        <v>1000</v>
      </c>
      <c r="G77">
        <f t="shared" si="2"/>
        <v>3000</v>
      </c>
      <c r="H77">
        <f t="shared" si="3"/>
        <v>150</v>
      </c>
      <c r="N77">
        <v>50</v>
      </c>
      <c r="O77">
        <v>50</v>
      </c>
      <c r="P77">
        <v>50</v>
      </c>
    </row>
    <row r="78" spans="1:20" x14ac:dyDescent="0.4">
      <c r="A78" t="s">
        <v>112</v>
      </c>
      <c r="B78" t="s">
        <v>113</v>
      </c>
      <c r="C78" t="s">
        <v>115</v>
      </c>
      <c r="D78">
        <f>Assumption!$B$2</f>
        <v>1000</v>
      </c>
      <c r="E78">
        <f>Assumption!$B$3</f>
        <v>1000</v>
      </c>
      <c r="F78">
        <f>Assumption!$B$4</f>
        <v>1000</v>
      </c>
      <c r="G78">
        <f t="shared" si="2"/>
        <v>3000</v>
      </c>
      <c r="H78">
        <f t="shared" si="3"/>
        <v>150</v>
      </c>
      <c r="N78">
        <v>50</v>
      </c>
      <c r="O78">
        <v>50</v>
      </c>
      <c r="P78">
        <v>50</v>
      </c>
    </row>
    <row r="79" spans="1:20" x14ac:dyDescent="0.4">
      <c r="A79" t="s">
        <v>112</v>
      </c>
      <c r="B79" t="s">
        <v>113</v>
      </c>
      <c r="C79" t="s">
        <v>116</v>
      </c>
      <c r="D79">
        <f>Assumption!$B$2</f>
        <v>1000</v>
      </c>
      <c r="E79">
        <f>Assumption!$B$3</f>
        <v>1000</v>
      </c>
      <c r="F79">
        <f>Assumption!$B$4</f>
        <v>1000</v>
      </c>
      <c r="G79">
        <f t="shared" si="2"/>
        <v>3000</v>
      </c>
      <c r="H79">
        <f t="shared" si="3"/>
        <v>100</v>
      </c>
      <c r="R79">
        <v>50</v>
      </c>
      <c r="S79">
        <v>50</v>
      </c>
    </row>
    <row r="80" spans="1:20" x14ac:dyDescent="0.4">
      <c r="A80" t="s">
        <v>112</v>
      </c>
      <c r="B80" t="s">
        <v>117</v>
      </c>
      <c r="C80" t="s">
        <v>118</v>
      </c>
      <c r="D80">
        <f>Assumption!$B$2</f>
        <v>1000</v>
      </c>
      <c r="E80">
        <f>Assumption!$B$3</f>
        <v>1000</v>
      </c>
      <c r="F80">
        <f>Assumption!$B$4</f>
        <v>1000</v>
      </c>
      <c r="G80">
        <f t="shared" si="2"/>
        <v>3000</v>
      </c>
      <c r="H80">
        <f t="shared" si="3"/>
        <v>200</v>
      </c>
      <c r="N80">
        <v>50</v>
      </c>
      <c r="O80">
        <v>50</v>
      </c>
      <c r="P80">
        <v>50</v>
      </c>
      <c r="Q80">
        <v>50</v>
      </c>
    </row>
    <row r="81" spans="1:20" x14ac:dyDescent="0.4">
      <c r="A81" t="s">
        <v>112</v>
      </c>
      <c r="B81" t="s">
        <v>119</v>
      </c>
      <c r="C81" t="s">
        <v>120</v>
      </c>
      <c r="D81">
        <f>Assumption!$B$2</f>
        <v>1000</v>
      </c>
      <c r="E81">
        <f>Assumption!$B$3</f>
        <v>1000</v>
      </c>
      <c r="F81">
        <f>Assumption!$B$4</f>
        <v>1000</v>
      </c>
      <c r="G81">
        <f t="shared" si="2"/>
        <v>3000</v>
      </c>
      <c r="H81">
        <f t="shared" si="3"/>
        <v>0</v>
      </c>
    </row>
    <row r="82" spans="1:20" x14ac:dyDescent="0.4">
      <c r="A82" t="s">
        <v>112</v>
      </c>
      <c r="B82" t="s">
        <v>121</v>
      </c>
      <c r="C82" t="s">
        <v>122</v>
      </c>
      <c r="D82">
        <f>Assumption!$B$2</f>
        <v>1000</v>
      </c>
      <c r="E82">
        <f>Assumption!$B$3</f>
        <v>1000</v>
      </c>
      <c r="F82">
        <f>Assumption!$B$4</f>
        <v>1000</v>
      </c>
      <c r="G82">
        <f t="shared" si="2"/>
        <v>3000</v>
      </c>
      <c r="H82">
        <f t="shared" si="3"/>
        <v>100</v>
      </c>
      <c r="S82">
        <v>50</v>
      </c>
      <c r="T82">
        <v>50</v>
      </c>
    </row>
    <row r="83" spans="1:20" x14ac:dyDescent="0.4">
      <c r="A83" t="s">
        <v>112</v>
      </c>
      <c r="B83" t="s">
        <v>121</v>
      </c>
      <c r="C83" t="s">
        <v>123</v>
      </c>
      <c r="D83">
        <f>Assumption!$B$2</f>
        <v>1000</v>
      </c>
      <c r="E83">
        <f>Assumption!$B$3</f>
        <v>1000</v>
      </c>
      <c r="F83">
        <f>Assumption!$B$4</f>
        <v>1000</v>
      </c>
      <c r="G83">
        <f t="shared" si="2"/>
        <v>3000</v>
      </c>
      <c r="H83">
        <f t="shared" si="3"/>
        <v>0</v>
      </c>
    </row>
    <row r="84" spans="1:20" x14ac:dyDescent="0.4">
      <c r="A84" t="s">
        <v>112</v>
      </c>
      <c r="B84" t="s">
        <v>121</v>
      </c>
      <c r="C84" t="s">
        <v>124</v>
      </c>
      <c r="D84">
        <f>Assumption!$B$2</f>
        <v>1000</v>
      </c>
      <c r="E84">
        <f>Assumption!$B$3</f>
        <v>1000</v>
      </c>
      <c r="F84">
        <f>Assumption!$B$4</f>
        <v>1000</v>
      </c>
      <c r="G84">
        <f t="shared" si="2"/>
        <v>3000</v>
      </c>
      <c r="H84">
        <f t="shared" si="3"/>
        <v>0</v>
      </c>
    </row>
    <row r="85" spans="1:20" x14ac:dyDescent="0.4">
      <c r="A85" t="s">
        <v>112</v>
      </c>
      <c r="B85" t="s">
        <v>125</v>
      </c>
      <c r="C85" t="s">
        <v>126</v>
      </c>
      <c r="D85">
        <f>Assumption!$B$2</f>
        <v>1000</v>
      </c>
      <c r="E85">
        <f>Assumption!$B$3</f>
        <v>1000</v>
      </c>
      <c r="F85">
        <f>Assumption!$B$4</f>
        <v>1000</v>
      </c>
      <c r="G85">
        <f t="shared" si="2"/>
        <v>3000</v>
      </c>
      <c r="H85">
        <f t="shared" si="3"/>
        <v>0</v>
      </c>
    </row>
    <row r="86" spans="1:20" x14ac:dyDescent="0.4">
      <c r="A86" t="s">
        <v>112</v>
      </c>
      <c r="B86" t="s">
        <v>127</v>
      </c>
      <c r="C86" t="s">
        <v>128</v>
      </c>
      <c r="D86">
        <f>Assumption!$B$2</f>
        <v>1000</v>
      </c>
      <c r="E86">
        <f>Assumption!$B$3</f>
        <v>1000</v>
      </c>
      <c r="F86">
        <f>Assumption!$B$4</f>
        <v>1000</v>
      </c>
      <c r="G86">
        <f t="shared" si="2"/>
        <v>3000</v>
      </c>
      <c r="H86">
        <f t="shared" si="3"/>
        <v>0</v>
      </c>
    </row>
    <row r="87" spans="1:20" x14ac:dyDescent="0.4">
      <c r="A87" t="s">
        <v>112</v>
      </c>
      <c r="B87" t="s">
        <v>129</v>
      </c>
      <c r="C87" t="s">
        <v>130</v>
      </c>
      <c r="D87">
        <f>Assumption!$B$2</f>
        <v>1000</v>
      </c>
      <c r="E87">
        <f>Assumption!$B$3</f>
        <v>1000</v>
      </c>
      <c r="F87">
        <f>Assumption!$B$4</f>
        <v>1000</v>
      </c>
      <c r="G87">
        <f t="shared" si="2"/>
        <v>3000</v>
      </c>
      <c r="H87">
        <f t="shared" si="3"/>
        <v>0</v>
      </c>
    </row>
    <row r="88" spans="1:20" x14ac:dyDescent="0.4">
      <c r="A88" t="s">
        <v>112</v>
      </c>
      <c r="B88" t="s">
        <v>131</v>
      </c>
      <c r="C88" t="s">
        <v>132</v>
      </c>
      <c r="D88">
        <f>Assumption!$B$2</f>
        <v>1000</v>
      </c>
      <c r="E88">
        <f>Assumption!$B$3</f>
        <v>1000</v>
      </c>
      <c r="F88">
        <f>Assumption!$B$4</f>
        <v>1000</v>
      </c>
      <c r="G88">
        <f t="shared" si="2"/>
        <v>3000</v>
      </c>
      <c r="H88">
        <f t="shared" si="3"/>
        <v>0</v>
      </c>
    </row>
    <row r="89" spans="1:20" x14ac:dyDescent="0.4">
      <c r="A89" t="s">
        <v>112</v>
      </c>
      <c r="B89" t="s">
        <v>133</v>
      </c>
      <c r="C89" t="s">
        <v>134</v>
      </c>
      <c r="D89">
        <f>Assumption!$B$2</f>
        <v>1000</v>
      </c>
      <c r="E89">
        <f>Assumption!$B$3</f>
        <v>1000</v>
      </c>
      <c r="F89">
        <f>Assumption!$B$4</f>
        <v>1000</v>
      </c>
      <c r="G89">
        <f t="shared" si="2"/>
        <v>3000</v>
      </c>
      <c r="H89">
        <f t="shared" si="3"/>
        <v>0</v>
      </c>
    </row>
    <row r="90" spans="1:20" x14ac:dyDescent="0.4">
      <c r="A90" t="s">
        <v>112</v>
      </c>
      <c r="B90" t="s">
        <v>135</v>
      </c>
      <c r="C90" t="s">
        <v>136</v>
      </c>
      <c r="D90">
        <f>Assumption!$B$2</f>
        <v>1000</v>
      </c>
      <c r="E90">
        <f>Assumption!$B$3</f>
        <v>1000</v>
      </c>
      <c r="F90">
        <f>Assumption!$B$4</f>
        <v>1000</v>
      </c>
      <c r="G90">
        <f t="shared" si="2"/>
        <v>3000</v>
      </c>
      <c r="H90">
        <f t="shared" si="3"/>
        <v>0</v>
      </c>
    </row>
    <row r="91" spans="1:20" x14ac:dyDescent="0.4">
      <c r="A91" t="s">
        <v>112</v>
      </c>
      <c r="B91" t="s">
        <v>137</v>
      </c>
      <c r="C91" t="s">
        <v>137</v>
      </c>
      <c r="D91">
        <f>Assumption!$B$2</f>
        <v>1000</v>
      </c>
      <c r="E91">
        <f>Assumption!$B$3</f>
        <v>1000</v>
      </c>
      <c r="F91">
        <f>Assumption!$B$4</f>
        <v>1000</v>
      </c>
      <c r="G91">
        <f t="shared" si="2"/>
        <v>3000</v>
      </c>
      <c r="H91">
        <f t="shared" si="3"/>
        <v>200</v>
      </c>
      <c r="K91">
        <v>50</v>
      </c>
      <c r="L91">
        <v>50</v>
      </c>
      <c r="M91">
        <v>50</v>
      </c>
      <c r="N91">
        <v>50</v>
      </c>
    </row>
    <row r="92" spans="1:20" x14ac:dyDescent="0.4">
      <c r="A92" t="s">
        <v>112</v>
      </c>
      <c r="B92" t="s">
        <v>138</v>
      </c>
      <c r="C92" t="s">
        <v>138</v>
      </c>
      <c r="D92">
        <f>Assumption!$B$2</f>
        <v>1000</v>
      </c>
      <c r="E92">
        <f>Assumption!$B$3</f>
        <v>1000</v>
      </c>
      <c r="F92">
        <f>Assumption!$B$4</f>
        <v>1000</v>
      </c>
      <c r="G92">
        <f t="shared" si="2"/>
        <v>3000</v>
      </c>
      <c r="H92">
        <f t="shared" si="3"/>
        <v>300</v>
      </c>
      <c r="I92">
        <v>50</v>
      </c>
      <c r="J92">
        <v>50</v>
      </c>
      <c r="K92">
        <v>50</v>
      </c>
      <c r="L92">
        <v>50</v>
      </c>
      <c r="M92">
        <v>50</v>
      </c>
      <c r="N92">
        <v>50</v>
      </c>
    </row>
    <row r="93" spans="1:20" x14ac:dyDescent="0.4">
      <c r="A93" t="s">
        <v>112</v>
      </c>
      <c r="B93" t="s">
        <v>139</v>
      </c>
      <c r="C93" t="s">
        <v>139</v>
      </c>
      <c r="D93">
        <f>Assumption!$B$2</f>
        <v>1000</v>
      </c>
      <c r="E93">
        <f>Assumption!$B$3</f>
        <v>1000</v>
      </c>
      <c r="F93">
        <f>Assumption!$B$4</f>
        <v>1000</v>
      </c>
      <c r="G93">
        <f t="shared" si="2"/>
        <v>3000</v>
      </c>
      <c r="H93">
        <f t="shared" si="3"/>
        <v>200</v>
      </c>
      <c r="K93">
        <v>50</v>
      </c>
      <c r="L93">
        <v>50</v>
      </c>
      <c r="M93">
        <v>50</v>
      </c>
      <c r="N93">
        <v>50</v>
      </c>
    </row>
    <row r="94" spans="1:20" x14ac:dyDescent="0.4">
      <c r="A94" t="s">
        <v>140</v>
      </c>
      <c r="B94" t="s">
        <v>141</v>
      </c>
      <c r="C94" t="s">
        <v>141</v>
      </c>
      <c r="D94">
        <f>Assumption!$B$2</f>
        <v>1000</v>
      </c>
      <c r="E94">
        <f>Assumption!$B$3</f>
        <v>1000</v>
      </c>
      <c r="F94">
        <f>Assumption!$B$4</f>
        <v>1000</v>
      </c>
      <c r="G94">
        <f t="shared" si="2"/>
        <v>3000</v>
      </c>
      <c r="H94">
        <f t="shared" si="3"/>
        <v>50</v>
      </c>
      <c r="I94">
        <v>50</v>
      </c>
    </row>
    <row r="95" spans="1:20" x14ac:dyDescent="0.4">
      <c r="A95" t="s">
        <v>140</v>
      </c>
      <c r="B95" t="s">
        <v>142</v>
      </c>
      <c r="C95" t="s">
        <v>142</v>
      </c>
      <c r="D95">
        <f>Assumption!$B$2</f>
        <v>1000</v>
      </c>
      <c r="E95">
        <f>Assumption!$B$3</f>
        <v>1000</v>
      </c>
      <c r="F95">
        <f>Assumption!$B$4</f>
        <v>1000</v>
      </c>
      <c r="G95">
        <f t="shared" si="2"/>
        <v>3000</v>
      </c>
      <c r="H95">
        <f t="shared" si="3"/>
        <v>50</v>
      </c>
      <c r="K95">
        <v>50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D0F2A-9DF4-4636-BC6C-A88BFD889977}">
  <dimension ref="A1:L2"/>
  <sheetViews>
    <sheetView workbookViewId="0">
      <selection activeCell="H19" sqref="H19"/>
    </sheetView>
  </sheetViews>
  <sheetFormatPr defaultRowHeight="13.9" x14ac:dyDescent="0.4"/>
  <sheetData>
    <row r="1" spans="1:12" x14ac:dyDescent="0.4">
      <c r="A1" t="s">
        <v>166</v>
      </c>
    </row>
    <row r="2" spans="1:12" x14ac:dyDescent="0.4">
      <c r="A2" t="s">
        <v>154</v>
      </c>
      <c r="B2" t="s">
        <v>155</v>
      </c>
      <c r="C2" t="s">
        <v>156</v>
      </c>
      <c r="D2" t="s">
        <v>157</v>
      </c>
      <c r="E2" t="s">
        <v>158</v>
      </c>
      <c r="F2" t="s">
        <v>159</v>
      </c>
      <c r="G2" t="s">
        <v>160</v>
      </c>
      <c r="H2" t="s">
        <v>161</v>
      </c>
      <c r="I2" t="s">
        <v>162</v>
      </c>
      <c r="J2" t="s">
        <v>163</v>
      </c>
      <c r="K2" t="s">
        <v>164</v>
      </c>
      <c r="L2" t="s">
        <v>165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3CA79-4E83-4C40-9692-FA8D6551B83E}">
  <dimension ref="A1:C10"/>
  <sheetViews>
    <sheetView zoomScale="205" zoomScaleNormal="205" workbookViewId="0">
      <selection sqref="A1:B10"/>
    </sheetView>
  </sheetViews>
  <sheetFormatPr defaultRowHeight="13.9" x14ac:dyDescent="0.4"/>
  <cols>
    <col min="1" max="1" width="37.3984375" bestFit="1" customWidth="1"/>
    <col min="2" max="2" width="13.59765625" bestFit="1" customWidth="1"/>
    <col min="3" max="3" width="19" bestFit="1" customWidth="1"/>
  </cols>
  <sheetData>
    <row r="1" spans="1:3" x14ac:dyDescent="0.4">
      <c r="A1" t="s">
        <v>143</v>
      </c>
      <c r="B1" s="1" t="s">
        <v>144</v>
      </c>
      <c r="C1" t="s">
        <v>150</v>
      </c>
    </row>
    <row r="2" spans="1:3" x14ac:dyDescent="0.4">
      <c r="A2" t="s">
        <v>2</v>
      </c>
      <c r="B2">
        <v>1000</v>
      </c>
      <c r="C2" t="s">
        <v>151</v>
      </c>
    </row>
    <row r="3" spans="1:3" x14ac:dyDescent="0.4">
      <c r="A3" t="s">
        <v>3</v>
      </c>
      <c r="B3">
        <v>1000</v>
      </c>
      <c r="C3" t="s">
        <v>152</v>
      </c>
    </row>
    <row r="4" spans="1:3" x14ac:dyDescent="0.4">
      <c r="A4" t="s">
        <v>4</v>
      </c>
      <c r="B4">
        <v>1000</v>
      </c>
      <c r="C4" t="s">
        <v>153</v>
      </c>
    </row>
    <row r="5" spans="1:3" x14ac:dyDescent="0.4">
      <c r="A5" t="s">
        <v>145</v>
      </c>
      <c r="B5">
        <f>SUM(B2:B4)</f>
        <v>3000</v>
      </c>
    </row>
    <row r="6" spans="1:3" x14ac:dyDescent="0.4">
      <c r="A6" t="s">
        <v>149</v>
      </c>
      <c r="B6">
        <v>1000</v>
      </c>
    </row>
    <row r="8" spans="1:3" x14ac:dyDescent="0.4">
      <c r="B8" s="1" t="s">
        <v>147</v>
      </c>
    </row>
    <row r="9" spans="1:3" x14ac:dyDescent="0.4">
      <c r="A9" t="s">
        <v>146</v>
      </c>
      <c r="B9">
        <v>1000</v>
      </c>
    </row>
    <row r="10" spans="1:3" x14ac:dyDescent="0.4">
      <c r="A10" t="s">
        <v>148</v>
      </c>
      <c r="B10">
        <v>500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Capex Calculation</vt:lpstr>
      <vt:lpstr>Assumption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Wenjun Liao</cp:lastModifiedBy>
  <dcterms:created xsi:type="dcterms:W3CDTF">2026-04-27T15:27:27Z</dcterms:created>
  <dcterms:modified xsi:type="dcterms:W3CDTF">2026-04-28T20:38:53Z</dcterms:modified>
</cp:coreProperties>
</file>
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gb-my.sharepoint.com/personal/wenjun_liao_uk_ey_com/Documents/Desktop/"/>
    </mc:Choice>
  </mc:AlternateContent>
  <xr:revisionPtr revIDLastSave="98" documentId="8_{CC14A36F-7A20-488E-88CF-5DB3E5255D8A}" xr6:coauthVersionLast="47" xr6:coauthVersionMax="47" xr10:uidLastSave="{C2DCB50E-87D2-4E17-A354-1CCEF3318649}"/>
  <bookViews>
    <workbookView xWindow="28680" yWindow="-120" windowWidth="29040" windowHeight="15720" activeTab="1" xr2:uid="{348ECA1E-C986-4CAC-A979-B2BB33006272}"/>
  </bookViews>
  <sheets>
    <sheet name="cd_dashboard" sheetId="1" r:id="rId1"/>
    <sheet name="Assum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1" i="1" l="1"/>
  <c r="X33" i="1"/>
  <c r="X55" i="1"/>
  <c r="X77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2" i="1"/>
  <c r="AB2" i="1"/>
  <c r="AC2" i="1"/>
  <c r="AD2" i="1"/>
  <c r="AE2" i="1"/>
  <c r="AF2" i="1"/>
  <c r="AG2" i="1"/>
  <c r="AH2" i="1"/>
  <c r="AI2" i="1"/>
  <c r="AJ2" i="1"/>
  <c r="Z2" i="1"/>
  <c r="Y3" i="1"/>
  <c r="X3" i="1" s="1"/>
  <c r="Y4" i="1"/>
  <c r="X4" i="1" s="1"/>
  <c r="Y5" i="1"/>
  <c r="X5" i="1" s="1"/>
  <c r="Y6" i="1"/>
  <c r="X6" i="1" s="1"/>
  <c r="Y7" i="1"/>
  <c r="X7" i="1" s="1"/>
  <c r="Y8" i="1"/>
  <c r="X8" i="1" s="1"/>
  <c r="Y9" i="1"/>
  <c r="X9" i="1" s="1"/>
  <c r="Y10" i="1"/>
  <c r="X10" i="1" s="1"/>
  <c r="Y11" i="1"/>
  <c r="Y12" i="1"/>
  <c r="X12" i="1" s="1"/>
  <c r="Y13" i="1"/>
  <c r="X13" i="1" s="1"/>
  <c r="Y14" i="1"/>
  <c r="X14" i="1" s="1"/>
  <c r="Y15" i="1"/>
  <c r="X15" i="1" s="1"/>
  <c r="Y16" i="1"/>
  <c r="X16" i="1" s="1"/>
  <c r="Y17" i="1"/>
  <c r="X17" i="1" s="1"/>
  <c r="Y18" i="1"/>
  <c r="X18" i="1" s="1"/>
  <c r="Y19" i="1"/>
  <c r="X19" i="1" s="1"/>
  <c r="Y20" i="1"/>
  <c r="X20" i="1" s="1"/>
  <c r="Y21" i="1"/>
  <c r="X21" i="1" s="1"/>
  <c r="Y22" i="1"/>
  <c r="X22" i="1" s="1"/>
  <c r="Y23" i="1"/>
  <c r="X23" i="1" s="1"/>
  <c r="Y24" i="1"/>
  <c r="X24" i="1" s="1"/>
  <c r="Y25" i="1"/>
  <c r="X25" i="1" s="1"/>
  <c r="Y26" i="1"/>
  <c r="X26" i="1" s="1"/>
  <c r="Y27" i="1"/>
  <c r="X27" i="1" s="1"/>
  <c r="Y28" i="1"/>
  <c r="X28" i="1" s="1"/>
  <c r="Y29" i="1"/>
  <c r="X29" i="1" s="1"/>
  <c r="Y30" i="1"/>
  <c r="X30" i="1" s="1"/>
  <c r="Y31" i="1"/>
  <c r="X31" i="1" s="1"/>
  <c r="Y32" i="1"/>
  <c r="X32" i="1" s="1"/>
  <c r="Y33" i="1"/>
  <c r="Y34" i="1"/>
  <c r="X34" i="1" s="1"/>
  <c r="Y35" i="1"/>
  <c r="X35" i="1" s="1"/>
  <c r="Y36" i="1"/>
  <c r="X36" i="1" s="1"/>
  <c r="Y37" i="1"/>
  <c r="X37" i="1" s="1"/>
  <c r="Y38" i="1"/>
  <c r="X38" i="1" s="1"/>
  <c r="Y39" i="1"/>
  <c r="X39" i="1" s="1"/>
  <c r="Y40" i="1"/>
  <c r="X40" i="1" s="1"/>
  <c r="Y41" i="1"/>
  <c r="X41" i="1" s="1"/>
  <c r="Y42" i="1"/>
  <c r="X42" i="1" s="1"/>
  <c r="Y43" i="1"/>
  <c r="X43" i="1" s="1"/>
  <c r="Y44" i="1"/>
  <c r="X44" i="1" s="1"/>
  <c r="Y45" i="1"/>
  <c r="X45" i="1" s="1"/>
  <c r="Y46" i="1"/>
  <c r="X46" i="1" s="1"/>
  <c r="Y47" i="1"/>
  <c r="X47" i="1" s="1"/>
  <c r="Y48" i="1"/>
  <c r="X48" i="1" s="1"/>
  <c r="Y49" i="1"/>
  <c r="X49" i="1" s="1"/>
  <c r="Y50" i="1"/>
  <c r="X50" i="1" s="1"/>
  <c r="Y51" i="1"/>
  <c r="X51" i="1" s="1"/>
  <c r="Y52" i="1"/>
  <c r="X52" i="1" s="1"/>
  <c r="Y53" i="1"/>
  <c r="X53" i="1" s="1"/>
  <c r="Y54" i="1"/>
  <c r="X54" i="1" s="1"/>
  <c r="Y55" i="1"/>
  <c r="Y56" i="1"/>
  <c r="X56" i="1" s="1"/>
  <c r="Y57" i="1"/>
  <c r="X57" i="1" s="1"/>
  <c r="Y58" i="1"/>
  <c r="X58" i="1" s="1"/>
  <c r="Y59" i="1"/>
  <c r="X59" i="1" s="1"/>
  <c r="Y60" i="1"/>
  <c r="X60" i="1" s="1"/>
  <c r="Y61" i="1"/>
  <c r="X61" i="1" s="1"/>
  <c r="Y62" i="1"/>
  <c r="X62" i="1" s="1"/>
  <c r="Y63" i="1"/>
  <c r="X63" i="1" s="1"/>
  <c r="Y64" i="1"/>
  <c r="X64" i="1" s="1"/>
  <c r="Y65" i="1"/>
  <c r="X65" i="1" s="1"/>
  <c r="Y66" i="1"/>
  <c r="X66" i="1" s="1"/>
  <c r="Y67" i="1"/>
  <c r="X67" i="1" s="1"/>
  <c r="Y68" i="1"/>
  <c r="X68" i="1" s="1"/>
  <c r="Y69" i="1"/>
  <c r="X69" i="1" s="1"/>
  <c r="Y70" i="1"/>
  <c r="X70" i="1" s="1"/>
  <c r="Y71" i="1"/>
  <c r="X71" i="1" s="1"/>
  <c r="Y72" i="1"/>
  <c r="X72" i="1" s="1"/>
  <c r="Y73" i="1"/>
  <c r="X73" i="1" s="1"/>
  <c r="Y74" i="1"/>
  <c r="X74" i="1" s="1"/>
  <c r="Y75" i="1"/>
  <c r="X75" i="1" s="1"/>
  <c r="Y76" i="1"/>
  <c r="X76" i="1" s="1"/>
  <c r="Y77" i="1"/>
  <c r="Y78" i="1"/>
  <c r="X78" i="1" s="1"/>
  <c r="Y79" i="1"/>
  <c r="X79" i="1" s="1"/>
  <c r="Y80" i="1"/>
  <c r="X80" i="1" s="1"/>
  <c r="Y81" i="1"/>
  <c r="X81" i="1" s="1"/>
  <c r="Y82" i="1"/>
  <c r="X82" i="1" s="1"/>
  <c r="Y83" i="1"/>
  <c r="X83" i="1" s="1"/>
  <c r="Y84" i="1"/>
  <c r="X84" i="1" s="1"/>
  <c r="Y85" i="1"/>
  <c r="X85" i="1" s="1"/>
  <c r="Y86" i="1"/>
  <c r="X86" i="1" s="1"/>
  <c r="Y87" i="1"/>
  <c r="X87" i="1" s="1"/>
  <c r="Y88" i="1"/>
  <c r="X88" i="1" s="1"/>
  <c r="Y89" i="1"/>
  <c r="X89" i="1" s="1"/>
  <c r="Y90" i="1"/>
  <c r="X90" i="1" s="1"/>
  <c r="Y91" i="1"/>
  <c r="X91" i="1" s="1"/>
  <c r="Y92" i="1"/>
  <c r="X92" i="1" s="1"/>
  <c r="Y93" i="1"/>
  <c r="X93" i="1" s="1"/>
  <c r="Y94" i="1"/>
  <c r="X94" i="1" s="1"/>
  <c r="Y95" i="1"/>
  <c r="X95" i="1" s="1"/>
  <c r="Y2" i="1"/>
  <c r="X2" i="1" s="1"/>
  <c r="J3" i="1"/>
  <c r="F3" i="1" s="1"/>
  <c r="J4" i="1"/>
  <c r="F4" i="1" s="1"/>
  <c r="J5" i="1"/>
  <c r="H5" i="1" s="1"/>
  <c r="J6" i="1"/>
  <c r="J7" i="1"/>
  <c r="H7" i="1" s="1"/>
  <c r="J8" i="1"/>
  <c r="H8" i="1" s="1"/>
  <c r="J9" i="1"/>
  <c r="J10" i="1"/>
  <c r="J11" i="1"/>
  <c r="J12" i="1"/>
  <c r="F12" i="1" s="1"/>
  <c r="J13" i="1"/>
  <c r="F13" i="1" s="1"/>
  <c r="J14" i="1"/>
  <c r="F14" i="1" s="1"/>
  <c r="J15" i="1"/>
  <c r="F15" i="1" s="1"/>
  <c r="J16" i="1"/>
  <c r="G16" i="1" s="1"/>
  <c r="J17" i="1"/>
  <c r="G17" i="1" s="1"/>
  <c r="J18" i="1"/>
  <c r="G18" i="1" s="1"/>
  <c r="J19" i="1"/>
  <c r="G19" i="1" s="1"/>
  <c r="J20" i="1"/>
  <c r="G20" i="1" s="1"/>
  <c r="J21" i="1"/>
  <c r="H21" i="1" s="1"/>
  <c r="J22" i="1"/>
  <c r="F22" i="1" s="1"/>
  <c r="J23" i="1"/>
  <c r="F23" i="1" s="1"/>
  <c r="J24" i="1"/>
  <c r="H24" i="1" s="1"/>
  <c r="J25" i="1"/>
  <c r="H25" i="1" s="1"/>
  <c r="J26" i="1"/>
  <c r="H26" i="1" s="1"/>
  <c r="J27" i="1"/>
  <c r="J28" i="1"/>
  <c r="J29" i="1"/>
  <c r="H29" i="1" s="1"/>
  <c r="J30" i="1"/>
  <c r="H30" i="1" s="1"/>
  <c r="J31" i="1"/>
  <c r="J32" i="1"/>
  <c r="J33" i="1"/>
  <c r="J34" i="1"/>
  <c r="G34" i="1" s="1"/>
  <c r="J35" i="1"/>
  <c r="G35" i="1" s="1"/>
  <c r="J36" i="1"/>
  <c r="G36" i="1" s="1"/>
  <c r="J37" i="1"/>
  <c r="H37" i="1" s="1"/>
  <c r="J38" i="1"/>
  <c r="G38" i="1" s="1"/>
  <c r="J39" i="1"/>
  <c r="G39" i="1" s="1"/>
  <c r="J40" i="1"/>
  <c r="G40" i="1" s="1"/>
  <c r="J41" i="1"/>
  <c r="G41" i="1" s="1"/>
  <c r="J42" i="1"/>
  <c r="G42" i="1" s="1"/>
  <c r="J43" i="1"/>
  <c r="H43" i="1" s="1"/>
  <c r="J44" i="1"/>
  <c r="H44" i="1" s="1"/>
  <c r="J45" i="1"/>
  <c r="H45" i="1" s="1"/>
  <c r="J46" i="1"/>
  <c r="H46" i="1" s="1"/>
  <c r="J47" i="1"/>
  <c r="H47" i="1" s="1"/>
  <c r="J48" i="1"/>
  <c r="H48" i="1" s="1"/>
  <c r="J49" i="1"/>
  <c r="J50" i="1"/>
  <c r="J51" i="1"/>
  <c r="J52" i="1"/>
  <c r="J53" i="1"/>
  <c r="J54" i="1"/>
  <c r="J55" i="1"/>
  <c r="J56" i="1"/>
  <c r="G56" i="1" s="1"/>
  <c r="J57" i="1"/>
  <c r="H57" i="1" s="1"/>
  <c r="J58" i="1"/>
  <c r="H58" i="1" s="1"/>
  <c r="J59" i="1"/>
  <c r="H59" i="1" s="1"/>
  <c r="J60" i="1"/>
  <c r="G60" i="1" s="1"/>
  <c r="J61" i="1"/>
  <c r="G61" i="1" s="1"/>
  <c r="J62" i="1"/>
  <c r="G62" i="1" s="1"/>
  <c r="J63" i="1"/>
  <c r="G63" i="1" s="1"/>
  <c r="J64" i="1"/>
  <c r="G64" i="1" s="1"/>
  <c r="J65" i="1"/>
  <c r="H65" i="1" s="1"/>
  <c r="J66" i="1"/>
  <c r="H66" i="1" s="1"/>
  <c r="J67" i="1"/>
  <c r="H67" i="1" s="1"/>
  <c r="J68" i="1"/>
  <c r="H68" i="1" s="1"/>
  <c r="J69" i="1"/>
  <c r="H69" i="1" s="1"/>
  <c r="J70" i="1"/>
  <c r="H70" i="1" s="1"/>
  <c r="J71" i="1"/>
  <c r="J72" i="1"/>
  <c r="J73" i="1"/>
  <c r="J74" i="1"/>
  <c r="H74" i="1" s="1"/>
  <c r="J75" i="1"/>
  <c r="J76" i="1"/>
  <c r="J77" i="1"/>
  <c r="J78" i="1"/>
  <c r="G78" i="1" s="1"/>
  <c r="J79" i="1"/>
  <c r="G79" i="1" s="1"/>
  <c r="J80" i="1"/>
  <c r="G80" i="1" s="1"/>
  <c r="J81" i="1"/>
  <c r="H81" i="1" s="1"/>
  <c r="J82" i="1"/>
  <c r="G82" i="1" s="1"/>
  <c r="J83" i="1"/>
  <c r="G83" i="1" s="1"/>
  <c r="J84" i="1"/>
  <c r="G84" i="1" s="1"/>
  <c r="J85" i="1"/>
  <c r="G85" i="1" s="1"/>
  <c r="J86" i="1"/>
  <c r="G86" i="1" s="1"/>
  <c r="J87" i="1"/>
  <c r="H87" i="1" s="1"/>
  <c r="J88" i="1"/>
  <c r="H88" i="1" s="1"/>
  <c r="J89" i="1"/>
  <c r="H89" i="1" s="1"/>
  <c r="J90" i="1"/>
  <c r="H90" i="1" s="1"/>
  <c r="J91" i="1"/>
  <c r="H91" i="1" s="1"/>
  <c r="J92" i="1"/>
  <c r="H92" i="1" s="1"/>
  <c r="J93" i="1"/>
  <c r="J94" i="1"/>
  <c r="J95" i="1"/>
  <c r="H95" i="1" s="1"/>
  <c r="J2" i="1"/>
  <c r="H2" i="1" s="1"/>
  <c r="H6" i="1"/>
  <c r="H9" i="1"/>
  <c r="H10" i="1"/>
  <c r="H11" i="1"/>
  <c r="H16" i="1"/>
  <c r="H17" i="1"/>
  <c r="H18" i="1"/>
  <c r="H27" i="1"/>
  <c r="H28" i="1"/>
  <c r="H31" i="1"/>
  <c r="H32" i="1"/>
  <c r="H33" i="1"/>
  <c r="H34" i="1"/>
  <c r="H38" i="1"/>
  <c r="H39" i="1"/>
  <c r="H49" i="1"/>
  <c r="H50" i="1"/>
  <c r="H51" i="1"/>
  <c r="H52" i="1"/>
  <c r="H53" i="1"/>
  <c r="H54" i="1"/>
  <c r="H55" i="1"/>
  <c r="H56" i="1"/>
  <c r="H60" i="1"/>
  <c r="H61" i="1"/>
  <c r="H71" i="1"/>
  <c r="H72" i="1"/>
  <c r="H73" i="1"/>
  <c r="H75" i="1"/>
  <c r="H76" i="1"/>
  <c r="H77" i="1"/>
  <c r="H78" i="1"/>
  <c r="H79" i="1"/>
  <c r="H80" i="1"/>
  <c r="H82" i="1"/>
  <c r="H83" i="1"/>
  <c r="H84" i="1"/>
  <c r="H93" i="1"/>
  <c r="H94" i="1"/>
  <c r="G5" i="1"/>
  <c r="G6" i="1"/>
  <c r="G7" i="1"/>
  <c r="G8" i="1"/>
  <c r="G9" i="1"/>
  <c r="G10" i="1"/>
  <c r="G11" i="1"/>
  <c r="G27" i="1"/>
  <c r="G28" i="1"/>
  <c r="G29" i="1"/>
  <c r="G30" i="1"/>
  <c r="G31" i="1"/>
  <c r="G32" i="1"/>
  <c r="G33" i="1"/>
  <c r="G49" i="1"/>
  <c r="G50" i="1"/>
  <c r="G51" i="1"/>
  <c r="G52" i="1"/>
  <c r="G53" i="1"/>
  <c r="G54" i="1"/>
  <c r="G55" i="1"/>
  <c r="G71" i="1"/>
  <c r="G72" i="1"/>
  <c r="G73" i="1"/>
  <c r="G74" i="1"/>
  <c r="G75" i="1"/>
  <c r="G76" i="1"/>
  <c r="G77" i="1"/>
  <c r="G93" i="1"/>
  <c r="G94" i="1"/>
  <c r="G95" i="1"/>
  <c r="G2" i="1"/>
  <c r="B5" i="2"/>
  <c r="F16" i="1"/>
  <c r="F17" i="1"/>
  <c r="F5" i="1"/>
  <c r="F6" i="1"/>
  <c r="F7" i="1"/>
  <c r="F8" i="1"/>
  <c r="F9" i="1"/>
  <c r="F10" i="1"/>
  <c r="F11" i="1"/>
  <c r="F21" i="1" l="1"/>
  <c r="G59" i="1"/>
  <c r="G15" i="1"/>
  <c r="F20" i="1"/>
  <c r="G58" i="1"/>
  <c r="F19" i="1"/>
  <c r="G13" i="1"/>
  <c r="H42" i="1"/>
  <c r="F18" i="1"/>
  <c r="G12" i="1"/>
  <c r="H41" i="1"/>
  <c r="H13" i="1"/>
  <c r="G14" i="1"/>
  <c r="H15" i="1"/>
  <c r="G57" i="1"/>
  <c r="H14" i="1"/>
  <c r="H40" i="1"/>
  <c r="H12" i="1"/>
  <c r="H64" i="1"/>
  <c r="H36" i="1"/>
  <c r="H63" i="1"/>
  <c r="H35" i="1"/>
  <c r="F2" i="1"/>
  <c r="H62" i="1"/>
  <c r="G81" i="1"/>
  <c r="G37" i="1"/>
  <c r="H86" i="1"/>
  <c r="H85" i="1"/>
  <c r="H20" i="1"/>
  <c r="H19" i="1"/>
  <c r="G92" i="1"/>
  <c r="G70" i="1"/>
  <c r="G48" i="1"/>
  <c r="G26" i="1"/>
  <c r="G4" i="1"/>
  <c r="G91" i="1"/>
  <c r="G69" i="1"/>
  <c r="G47" i="1"/>
  <c r="G25" i="1"/>
  <c r="G3" i="1"/>
  <c r="G90" i="1"/>
  <c r="G68" i="1"/>
  <c r="G46" i="1"/>
  <c r="G24" i="1"/>
  <c r="G89" i="1"/>
  <c r="G67" i="1"/>
  <c r="G45" i="1"/>
  <c r="G23" i="1"/>
  <c r="G88" i="1"/>
  <c r="G66" i="1"/>
  <c r="G44" i="1"/>
  <c r="G22" i="1"/>
  <c r="G87" i="1"/>
  <c r="G65" i="1"/>
  <c r="G43" i="1"/>
  <c r="G21" i="1"/>
  <c r="H4" i="1"/>
  <c r="H3" i="1"/>
  <c r="H23" i="1"/>
  <c r="H22" i="1"/>
</calcChain>
</file>

<file path=xl/sharedStrings.xml><?xml version="1.0" encoding="utf-8"?>
<sst xmlns="http://schemas.openxmlformats.org/spreadsheetml/2006/main" count="520" uniqueCount="178">
  <si>
    <t>custom_region_name</t>
  </si>
  <si>
    <t>council_name</t>
  </si>
  <si>
    <t>contract_name</t>
  </si>
  <si>
    <t>contract_dno_regions</t>
  </si>
  <si>
    <t>work_package_name</t>
  </si>
  <si>
    <t>capex_bom</t>
  </si>
  <si>
    <t>capex_installation</t>
  </si>
  <si>
    <t>capex_connection</t>
  </si>
  <si>
    <t>target_sites</t>
  </si>
  <si>
    <t>target_sockets</t>
  </si>
  <si>
    <t>contingency_percent</t>
  </si>
  <si>
    <t>target_sockets_1</t>
  </si>
  <si>
    <t>target_sockets_2</t>
  </si>
  <si>
    <t>target_sockets_3</t>
  </si>
  <si>
    <t>target_sockets_4</t>
  </si>
  <si>
    <t>target_sockets_5</t>
  </si>
  <si>
    <t>target_sockets_6</t>
  </si>
  <si>
    <t>target_sockets_7</t>
  </si>
  <si>
    <t>target_sockets_8</t>
  </si>
  <si>
    <t>target_sockets_9</t>
  </si>
  <si>
    <t>target_sockets_10</t>
  </si>
  <si>
    <t>target_sockets_11</t>
  </si>
  <si>
    <t>target_sockets_12</t>
  </si>
  <si>
    <t>planned_sites</t>
  </si>
  <si>
    <t>planned_sockets_1</t>
  </si>
  <si>
    <t>planned_sockets_2</t>
  </si>
  <si>
    <t>planned_sockets_3</t>
  </si>
  <si>
    <t>planned_sockets_4</t>
  </si>
  <si>
    <t>planned_sockets_5</t>
  </si>
  <si>
    <t>planned_sockets_6</t>
  </si>
  <si>
    <t>planned_sockets_7</t>
  </si>
  <si>
    <t>planned_sockets_8</t>
  </si>
  <si>
    <t>planned_sockets_9</t>
  </si>
  <si>
    <t>planned_sockets_10</t>
  </si>
  <si>
    <t>planned_sockets_11</t>
  </si>
  <si>
    <t>planned_sockets_12</t>
  </si>
  <si>
    <t>SOUTH</t>
  </si>
  <si>
    <t xml:space="preserve">Surrey </t>
  </si>
  <si>
    <t>UKPN_SE</t>
  </si>
  <si>
    <t>Surrey WP10</t>
  </si>
  <si>
    <t>Surrey WP11</t>
  </si>
  <si>
    <t>Surrey WP12</t>
  </si>
  <si>
    <t>Surrey WP13</t>
  </si>
  <si>
    <t>Surrey WP14</t>
  </si>
  <si>
    <t>Surrey WP15</t>
  </si>
  <si>
    <t>Surrey WP16</t>
  </si>
  <si>
    <t>Surrey WP17</t>
  </si>
  <si>
    <t>Surrey WP18</t>
  </si>
  <si>
    <t>Surrey WP19</t>
  </si>
  <si>
    <t>Surrey WP20</t>
  </si>
  <si>
    <t>Surrey WP21</t>
  </si>
  <si>
    <t>Surrey WP22</t>
  </si>
  <si>
    <t>Surrey LP</t>
  </si>
  <si>
    <t>Surrey Lamppost WP1</t>
  </si>
  <si>
    <t>Surrey Lamppost WP2</t>
  </si>
  <si>
    <t>Surrey Lamppost WP3</t>
  </si>
  <si>
    <t>Surrey Lamppost WP4</t>
  </si>
  <si>
    <t>Surrey Lamppost WP5</t>
  </si>
  <si>
    <t>Surrey Lamppost WP6</t>
  </si>
  <si>
    <t>Surrey Lamppost WP7</t>
  </si>
  <si>
    <t>Surrey Lamppost WP8</t>
  </si>
  <si>
    <t>Surrey Lamppost WP9</t>
  </si>
  <si>
    <t>Surrey Lamppost WP10</t>
  </si>
  <si>
    <t>Surrey Lamppost WP11</t>
  </si>
  <si>
    <t>Plymouth</t>
  </si>
  <si>
    <t>WPD_S</t>
  </si>
  <si>
    <t>Plymouth WP1</t>
  </si>
  <si>
    <t>Plymouth WP2</t>
  </si>
  <si>
    <t>Plymouth WP3</t>
  </si>
  <si>
    <t>Plymouth WP4</t>
  </si>
  <si>
    <t>Plymouth WP5</t>
  </si>
  <si>
    <t>Bournemouth, Christchurch &amp; Poole</t>
  </si>
  <si>
    <t>Bournemouth, Christchurch and Poole WP1</t>
  </si>
  <si>
    <t>Bournemouth, Christchurch and Poole WP2</t>
  </si>
  <si>
    <t>Bournemouth, Christchurch and Poole WP3</t>
  </si>
  <si>
    <t>Dorset</t>
  </si>
  <si>
    <t>Dorset WP1</t>
  </si>
  <si>
    <t>Dorset WP2</t>
  </si>
  <si>
    <t>Dorset WP3</t>
  </si>
  <si>
    <t>West Sussex</t>
  </si>
  <si>
    <t>West Sussex - Phase 4 WP2</t>
  </si>
  <si>
    <t>Wealden</t>
  </si>
  <si>
    <t>Havering</t>
  </si>
  <si>
    <t>UKPN_LPN</t>
  </si>
  <si>
    <t>Dorset - LEVI Pilot WP1</t>
  </si>
  <si>
    <t>Dorset - LEVI Pilot WP2</t>
  </si>
  <si>
    <t>Central &amp; Wales</t>
  </si>
  <si>
    <t>Windsor &amp; Maidenhead</t>
  </si>
  <si>
    <t>WPD_SM</t>
  </si>
  <si>
    <t>Windsor &amp; Maidenhead WPX</t>
  </si>
  <si>
    <t>West Berkshire</t>
  </si>
  <si>
    <t>West Berkshire WP1</t>
  </si>
  <si>
    <t>West Berkshire WP2</t>
  </si>
  <si>
    <t>West Berkshire WP3</t>
  </si>
  <si>
    <t>North Northamptonshire</t>
  </si>
  <si>
    <t>North Northamptonshire WP1</t>
  </si>
  <si>
    <t>North Northamptonshire WP2</t>
  </si>
  <si>
    <t>North Northamptonshire WP3</t>
  </si>
  <si>
    <t>Oxfordshire</t>
  </si>
  <si>
    <t>Oxfordshire WP1</t>
  </si>
  <si>
    <t>Oxfordshire WP2</t>
  </si>
  <si>
    <t>Oxfordshire WP3</t>
  </si>
  <si>
    <t>Oxfordshire WP4</t>
  </si>
  <si>
    <t>Oxfordshire WP5</t>
  </si>
  <si>
    <t>Bedford</t>
  </si>
  <si>
    <t>Bedford WP1</t>
  </si>
  <si>
    <t>Bedford WP2</t>
  </si>
  <si>
    <t>Bedford WP3</t>
  </si>
  <si>
    <t>Gloucester - F&amp;F</t>
  </si>
  <si>
    <t>Gloucester - GCC LEVI WP3</t>
  </si>
  <si>
    <t>CCR</t>
  </si>
  <si>
    <t>Barking &amp; Dagenham</t>
  </si>
  <si>
    <t>Suffolk</t>
  </si>
  <si>
    <t xml:space="preserve">Ceredigion </t>
  </si>
  <si>
    <t>Midlands</t>
  </si>
  <si>
    <t>Midlands Connect - Leicestershire</t>
  </si>
  <si>
    <t>WPD_EM</t>
  </si>
  <si>
    <t xml:space="preserve">Midlands Connect - Leicestershire WP1 </t>
  </si>
  <si>
    <t>Midlands Connect - Leicestershire WP2</t>
  </si>
  <si>
    <t>Midlands Connect - Leicestershire WP3</t>
  </si>
  <si>
    <t>Midlands Connect - Leicestershire WP4</t>
  </si>
  <si>
    <t>Midlands Connect - Rutland</t>
  </si>
  <si>
    <t xml:space="preserve">Midlands Connect - Rutland WP1 </t>
  </si>
  <si>
    <t>Midlands Connect - Rutland WP2</t>
  </si>
  <si>
    <t xml:space="preserve">Midlands Connect - Warwickshire </t>
  </si>
  <si>
    <t>Midlands Connect - Warwickshire WP1</t>
  </si>
  <si>
    <t>Midlands Connect - Warwickshire WP2</t>
  </si>
  <si>
    <t>Midlands Connect - Warwickshire WP3</t>
  </si>
  <si>
    <t>Midlands Connect - Warwickshire WP4</t>
  </si>
  <si>
    <t>Midlands Connect - Worcestershire</t>
  </si>
  <si>
    <t>Midlands Connect - Worcestershire WP1</t>
  </si>
  <si>
    <t>Midlands Connect - Worcestershire WP2</t>
  </si>
  <si>
    <t>Midlands Connect - Worcestershire WP3</t>
  </si>
  <si>
    <t>Midlands Connect - Trojan</t>
  </si>
  <si>
    <t>Trojan WPX</t>
  </si>
  <si>
    <t>North</t>
  </si>
  <si>
    <t xml:space="preserve">Blackburn </t>
  </si>
  <si>
    <t>SSEN_N</t>
  </si>
  <si>
    <t>Blackburn WP1</t>
  </si>
  <si>
    <t>Blackburn WP2</t>
  </si>
  <si>
    <t>Blackburn WP3</t>
  </si>
  <si>
    <t>Warrington (LEVI Pilot)</t>
  </si>
  <si>
    <t>Warrington</t>
  </si>
  <si>
    <t>Warrington (LEVI)</t>
  </si>
  <si>
    <t>Warrington (LEVI) WPX</t>
  </si>
  <si>
    <t>Cheshire West &amp; Chester</t>
  </si>
  <si>
    <t>Cheshire West and Chester WP1</t>
  </si>
  <si>
    <t>Cheshire West and Chester WP2</t>
  </si>
  <si>
    <t>Cheshire West and Chester WP3</t>
  </si>
  <si>
    <t>NECA - Gateshead</t>
  </si>
  <si>
    <t>NECA - Gateshead WPX</t>
  </si>
  <si>
    <t>NECA - Newcastle upon Tyne</t>
  </si>
  <si>
    <t>NECA - Newcastle upon Tyne WPX</t>
  </si>
  <si>
    <t>NECA - North Tyneside</t>
  </si>
  <si>
    <t>NECA - North Tyneside WPX</t>
  </si>
  <si>
    <t>NECA - South Tyneside</t>
  </si>
  <si>
    <t>NECA - South Tyneside WPX</t>
  </si>
  <si>
    <t xml:space="preserve">NECA - Sunderland </t>
  </si>
  <si>
    <t>NECA - Sunderland WPX</t>
  </si>
  <si>
    <t>NECA - Northumberland</t>
  </si>
  <si>
    <t>NECA - Northumberland WPX</t>
  </si>
  <si>
    <t>Sunderland - LEVI</t>
  </si>
  <si>
    <t>South Tyneside - Rapids - Levelling-up Fund</t>
  </si>
  <si>
    <t>Westmorland and Furness Council</t>
  </si>
  <si>
    <t>Commercial</t>
  </si>
  <si>
    <t>Barratts</t>
  </si>
  <si>
    <t>Prologis</t>
  </si>
  <si>
    <t>Value per socket</t>
  </si>
  <si>
    <t>Assumption</t>
  </si>
  <si>
    <t>capex</t>
  </si>
  <si>
    <t>Senior Delivery Manager annual capacity</t>
  </si>
  <si>
    <t>No. of sockets</t>
  </si>
  <si>
    <t>Delivery Manger annual capacity</t>
  </si>
  <si>
    <t>Asset Value</t>
  </si>
  <si>
    <t>Notes</t>
  </si>
  <si>
    <t>Bill of Materials</t>
  </si>
  <si>
    <t>On‑site build cost</t>
  </si>
  <si>
    <t>Getting power to site, include ICP (Independent Connection Provider) and DNO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</si>
</sst>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43356-5D5A-4D3E-8477-B7B2DD2CA9C3}">
  <dimension ref="A1:AJ95"/>
  <sheetViews>
    <sheetView zoomScale="85" zoomScaleNormal="85" workbookViewId="0">
      <selection activeCell="G22" sqref="G22"/>
    </sheetView>
  </sheetViews>
  <sheetFormatPr defaultRowHeight="15" x14ac:dyDescent="0.25"/>
  <cols>
    <col min="1" max="1" width="20.140625" bestFit="1" customWidth="1"/>
    <col min="2" max="3" width="39.85546875" bestFit="1" customWidth="1"/>
    <col min="4" max="4" width="20.28515625" bestFit="1" customWidth="1"/>
    <col min="5" max="5" width="39.85546875" bestFit="1" customWidth="1"/>
    <col min="6" max="6" width="11" bestFit="1" customWidth="1"/>
    <col min="7" max="7" width="17.42578125" bestFit="1" customWidth="1"/>
    <col min="8" max="8" width="17" bestFit="1" customWidth="1"/>
    <col min="9" max="9" width="11" bestFit="1" customWidth="1"/>
    <col min="10" max="10" width="13.7109375" bestFit="1" customWidth="1"/>
    <col min="11" max="11" width="19.28515625" bestFit="1" customWidth="1"/>
    <col min="12" max="20" width="15.5703125" bestFit="1" customWidth="1"/>
    <col min="21" max="23" width="16.5703125" bestFit="1" customWidth="1"/>
    <col min="24" max="24" width="13.42578125" bestFit="1" customWidth="1"/>
    <col min="25" max="33" width="18" bestFit="1" customWidth="1"/>
    <col min="34" max="36" width="19" bestFit="1" customWidth="1"/>
    <col min="37" max="37" width="3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t="s">
        <v>36</v>
      </c>
      <c r="B2" t="s">
        <v>37</v>
      </c>
      <c r="C2" t="s">
        <v>37</v>
      </c>
      <c r="D2" t="s">
        <v>38</v>
      </c>
      <c r="E2" t="s">
        <v>39</v>
      </c>
      <c r="F2">
        <f>J2*Assumption!$B$2</f>
        <v>150000</v>
      </c>
      <c r="G2">
        <f>J2*Assumption!$B$3</f>
        <v>150000</v>
      </c>
      <c r="H2">
        <f>J2*Assumption!$B$4</f>
        <v>150000</v>
      </c>
      <c r="I2">
        <v>10</v>
      </c>
      <c r="J2">
        <f>SUM(L2:W2)</f>
        <v>150</v>
      </c>
      <c r="K2">
        <v>10</v>
      </c>
      <c r="L2">
        <v>50</v>
      </c>
      <c r="M2">
        <v>50</v>
      </c>
      <c r="N2">
        <v>50</v>
      </c>
      <c r="X2">
        <f>SUM(Y2:AJ2)</f>
        <v>165</v>
      </c>
      <c r="Y2">
        <f>ROUND(L2*(100+$K2)/100,0)</f>
        <v>55</v>
      </c>
      <c r="Z2">
        <f>ROUND(M2*(100+$K2)/100,0)</f>
        <v>55</v>
      </c>
      <c r="AA2">
        <f t="shared" ref="AA2:AJ17" si="0">ROUND(N2*(100+$K2)/100,0)</f>
        <v>55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</row>
    <row r="3" spans="1:36" x14ac:dyDescent="0.25">
      <c r="A3" t="s">
        <v>36</v>
      </c>
      <c r="B3" t="s">
        <v>37</v>
      </c>
      <c r="C3" t="s">
        <v>37</v>
      </c>
      <c r="D3" t="s">
        <v>38</v>
      </c>
      <c r="E3" t="s">
        <v>40</v>
      </c>
      <c r="F3">
        <f>J3*Assumption!$B$2</f>
        <v>100000</v>
      </c>
      <c r="G3">
        <f>J3*Assumption!$B$3</f>
        <v>100000</v>
      </c>
      <c r="H3">
        <f>J3*Assumption!$B$4</f>
        <v>100000</v>
      </c>
      <c r="I3">
        <v>10</v>
      </c>
      <c r="J3">
        <f t="shared" ref="J3:J66" si="1">SUM(L3:W3)</f>
        <v>100</v>
      </c>
      <c r="K3">
        <v>10</v>
      </c>
      <c r="P3">
        <v>50</v>
      </c>
      <c r="Q3">
        <v>50</v>
      </c>
      <c r="X3">
        <f t="shared" ref="X3:X66" si="2">SUM(Y3:AJ3)</f>
        <v>110</v>
      </c>
      <c r="Y3">
        <f t="shared" ref="Y3:Y66" si="3">ROUND(L3*(100+$K3)/100,0)</f>
        <v>0</v>
      </c>
      <c r="Z3">
        <v>0</v>
      </c>
      <c r="AA3">
        <f t="shared" si="0"/>
        <v>0</v>
      </c>
      <c r="AB3">
        <f t="shared" si="0"/>
        <v>0</v>
      </c>
      <c r="AC3">
        <f t="shared" si="0"/>
        <v>55</v>
      </c>
      <c r="AD3">
        <f t="shared" si="0"/>
        <v>55</v>
      </c>
      <c r="AE3">
        <f t="shared" si="0"/>
        <v>0</v>
      </c>
      <c r="AF3">
        <f t="shared" si="0"/>
        <v>0</v>
      </c>
      <c r="AG3">
        <f t="shared" si="0"/>
        <v>0</v>
      </c>
      <c r="AH3">
        <f t="shared" si="0"/>
        <v>0</v>
      </c>
      <c r="AI3">
        <f t="shared" si="0"/>
        <v>0</v>
      </c>
      <c r="AJ3">
        <f t="shared" si="0"/>
        <v>0</v>
      </c>
    </row>
    <row r="4" spans="1:36" x14ac:dyDescent="0.25">
      <c r="A4" t="s">
        <v>36</v>
      </c>
      <c r="B4" t="s">
        <v>37</v>
      </c>
      <c r="C4" t="s">
        <v>37</v>
      </c>
      <c r="D4" t="s">
        <v>38</v>
      </c>
      <c r="E4" t="s">
        <v>41</v>
      </c>
      <c r="F4">
        <f>J4*Assumption!$B$2</f>
        <v>100000</v>
      </c>
      <c r="G4">
        <f>J4*Assumption!$B$3</f>
        <v>100000</v>
      </c>
      <c r="H4">
        <f>J4*Assumption!$B$4</f>
        <v>100000</v>
      </c>
      <c r="I4">
        <v>10</v>
      </c>
      <c r="J4">
        <f t="shared" si="1"/>
        <v>100</v>
      </c>
      <c r="K4">
        <v>10</v>
      </c>
      <c r="Q4">
        <v>50</v>
      </c>
      <c r="R4">
        <v>50</v>
      </c>
      <c r="X4">
        <f t="shared" si="2"/>
        <v>110</v>
      </c>
      <c r="Y4">
        <f t="shared" si="3"/>
        <v>0</v>
      </c>
      <c r="Z4">
        <v>0</v>
      </c>
      <c r="AA4">
        <f t="shared" si="0"/>
        <v>0</v>
      </c>
      <c r="AB4">
        <f t="shared" si="0"/>
        <v>0</v>
      </c>
      <c r="AC4">
        <f t="shared" si="0"/>
        <v>0</v>
      </c>
      <c r="AD4">
        <f t="shared" si="0"/>
        <v>55</v>
      </c>
      <c r="AE4">
        <f t="shared" si="0"/>
        <v>55</v>
      </c>
      <c r="AF4">
        <f t="shared" si="0"/>
        <v>0</v>
      </c>
      <c r="AG4">
        <f t="shared" si="0"/>
        <v>0</v>
      </c>
      <c r="AH4">
        <f t="shared" si="0"/>
        <v>0</v>
      </c>
      <c r="AI4">
        <f t="shared" si="0"/>
        <v>0</v>
      </c>
      <c r="AJ4">
        <f t="shared" si="0"/>
        <v>0</v>
      </c>
    </row>
    <row r="5" spans="1:36" x14ac:dyDescent="0.25">
      <c r="A5" t="s">
        <v>36</v>
      </c>
      <c r="B5" t="s">
        <v>37</v>
      </c>
      <c r="C5" t="s">
        <v>37</v>
      </c>
      <c r="D5" t="s">
        <v>38</v>
      </c>
      <c r="E5" t="s">
        <v>42</v>
      </c>
      <c r="F5">
        <f>J5*Assumption!$B$2</f>
        <v>100000</v>
      </c>
      <c r="G5">
        <f>J5*Assumption!$B$3</f>
        <v>100000</v>
      </c>
      <c r="H5">
        <f>J5*Assumption!$B$4</f>
        <v>100000</v>
      </c>
      <c r="I5">
        <v>10</v>
      </c>
      <c r="J5">
        <f t="shared" si="1"/>
        <v>100</v>
      </c>
      <c r="K5">
        <v>10</v>
      </c>
      <c r="R5">
        <v>50</v>
      </c>
      <c r="S5">
        <v>50</v>
      </c>
      <c r="X5">
        <f t="shared" si="2"/>
        <v>110</v>
      </c>
      <c r="Y5">
        <f t="shared" si="3"/>
        <v>0</v>
      </c>
      <c r="Z5"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55</v>
      </c>
      <c r="AF5">
        <f t="shared" si="0"/>
        <v>55</v>
      </c>
      <c r="AG5">
        <f t="shared" si="0"/>
        <v>0</v>
      </c>
      <c r="AH5">
        <f t="shared" si="0"/>
        <v>0</v>
      </c>
      <c r="AI5">
        <f t="shared" si="0"/>
        <v>0</v>
      </c>
      <c r="AJ5">
        <f t="shared" si="0"/>
        <v>0</v>
      </c>
    </row>
    <row r="6" spans="1:36" x14ac:dyDescent="0.25">
      <c r="A6" t="s">
        <v>36</v>
      </c>
      <c r="B6" t="s">
        <v>37</v>
      </c>
      <c r="C6" t="s">
        <v>37</v>
      </c>
      <c r="D6" t="s">
        <v>38</v>
      </c>
      <c r="E6" t="s">
        <v>43</v>
      </c>
      <c r="F6">
        <f>J6*Assumption!$B$2</f>
        <v>100000</v>
      </c>
      <c r="G6">
        <f>J6*Assumption!$B$3</f>
        <v>100000</v>
      </c>
      <c r="H6">
        <f>J6*Assumption!$B$4</f>
        <v>100000</v>
      </c>
      <c r="I6">
        <v>10</v>
      </c>
      <c r="J6">
        <f t="shared" si="1"/>
        <v>100</v>
      </c>
      <c r="K6">
        <v>10</v>
      </c>
      <c r="S6">
        <v>50</v>
      </c>
      <c r="T6">
        <v>50</v>
      </c>
      <c r="X6">
        <f t="shared" si="2"/>
        <v>110</v>
      </c>
      <c r="Y6">
        <f t="shared" si="3"/>
        <v>0</v>
      </c>
      <c r="Z6">
        <v>0</v>
      </c>
      <c r="AA6">
        <f t="shared" si="0"/>
        <v>0</v>
      </c>
      <c r="AB6">
        <f t="shared" si="0"/>
        <v>0</v>
      </c>
      <c r="AC6">
        <f t="shared" si="0"/>
        <v>0</v>
      </c>
      <c r="AD6">
        <f t="shared" si="0"/>
        <v>0</v>
      </c>
      <c r="AE6">
        <f t="shared" si="0"/>
        <v>0</v>
      </c>
      <c r="AF6">
        <f t="shared" si="0"/>
        <v>55</v>
      </c>
      <c r="AG6">
        <f t="shared" si="0"/>
        <v>55</v>
      </c>
      <c r="AH6">
        <f t="shared" si="0"/>
        <v>0</v>
      </c>
      <c r="AI6">
        <f t="shared" si="0"/>
        <v>0</v>
      </c>
      <c r="AJ6">
        <f t="shared" si="0"/>
        <v>0</v>
      </c>
    </row>
    <row r="7" spans="1:36" x14ac:dyDescent="0.25">
      <c r="A7" t="s">
        <v>36</v>
      </c>
      <c r="B7" t="s">
        <v>37</v>
      </c>
      <c r="C7" t="s">
        <v>37</v>
      </c>
      <c r="D7" t="s">
        <v>38</v>
      </c>
      <c r="E7" t="s">
        <v>44</v>
      </c>
      <c r="F7">
        <f>J7*Assumption!$B$2</f>
        <v>100000</v>
      </c>
      <c r="G7">
        <f>J7*Assumption!$B$3</f>
        <v>100000</v>
      </c>
      <c r="H7">
        <f>J7*Assumption!$B$4</f>
        <v>100000</v>
      </c>
      <c r="I7">
        <v>10</v>
      </c>
      <c r="J7">
        <f t="shared" si="1"/>
        <v>100</v>
      </c>
      <c r="K7">
        <v>10</v>
      </c>
      <c r="U7">
        <v>50</v>
      </c>
      <c r="V7">
        <v>50</v>
      </c>
      <c r="X7">
        <f t="shared" si="2"/>
        <v>110</v>
      </c>
      <c r="Y7">
        <f t="shared" si="3"/>
        <v>0</v>
      </c>
      <c r="Z7">
        <v>0</v>
      </c>
      <c r="AA7">
        <f t="shared" si="0"/>
        <v>0</v>
      </c>
      <c r="AB7">
        <f t="shared" si="0"/>
        <v>0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  <c r="AG7">
        <f t="shared" si="0"/>
        <v>0</v>
      </c>
      <c r="AH7">
        <f t="shared" si="0"/>
        <v>55</v>
      </c>
      <c r="AI7">
        <f t="shared" si="0"/>
        <v>55</v>
      </c>
      <c r="AJ7">
        <f t="shared" si="0"/>
        <v>0</v>
      </c>
    </row>
    <row r="8" spans="1:36" x14ac:dyDescent="0.25">
      <c r="A8" t="s">
        <v>36</v>
      </c>
      <c r="B8" t="s">
        <v>37</v>
      </c>
      <c r="C8" t="s">
        <v>37</v>
      </c>
      <c r="D8" t="s">
        <v>38</v>
      </c>
      <c r="E8" t="s">
        <v>45</v>
      </c>
      <c r="F8">
        <f>J8*Assumption!$B$2</f>
        <v>50000</v>
      </c>
      <c r="G8">
        <f>J8*Assumption!$B$3</f>
        <v>50000</v>
      </c>
      <c r="H8">
        <f>J8*Assumption!$B$4</f>
        <v>50000</v>
      </c>
      <c r="I8">
        <v>10</v>
      </c>
      <c r="J8">
        <f t="shared" si="1"/>
        <v>50</v>
      </c>
      <c r="K8">
        <v>10</v>
      </c>
      <c r="W8">
        <v>50</v>
      </c>
      <c r="X8">
        <f t="shared" si="2"/>
        <v>55</v>
      </c>
      <c r="Y8">
        <f t="shared" si="3"/>
        <v>0</v>
      </c>
      <c r="Z8">
        <v>0</v>
      </c>
      <c r="AA8">
        <f t="shared" si="0"/>
        <v>0</v>
      </c>
      <c r="AB8">
        <f t="shared" si="0"/>
        <v>0</v>
      </c>
      <c r="AC8">
        <f t="shared" si="0"/>
        <v>0</v>
      </c>
      <c r="AD8">
        <f t="shared" si="0"/>
        <v>0</v>
      </c>
      <c r="AE8">
        <f t="shared" si="0"/>
        <v>0</v>
      </c>
      <c r="AF8">
        <f t="shared" si="0"/>
        <v>0</v>
      </c>
      <c r="AG8">
        <f t="shared" si="0"/>
        <v>0</v>
      </c>
      <c r="AH8">
        <f t="shared" si="0"/>
        <v>0</v>
      </c>
      <c r="AI8">
        <f t="shared" si="0"/>
        <v>0</v>
      </c>
      <c r="AJ8">
        <f t="shared" si="0"/>
        <v>55</v>
      </c>
    </row>
    <row r="9" spans="1:36" x14ac:dyDescent="0.25">
      <c r="A9" t="s">
        <v>36</v>
      </c>
      <c r="B9" t="s">
        <v>37</v>
      </c>
      <c r="C9" t="s">
        <v>37</v>
      </c>
      <c r="D9" t="s">
        <v>38</v>
      </c>
      <c r="E9" t="s">
        <v>46</v>
      </c>
      <c r="F9">
        <f>J9*Assumption!$B$2</f>
        <v>0</v>
      </c>
      <c r="G9">
        <f>J9*Assumption!$B$3</f>
        <v>0</v>
      </c>
      <c r="H9">
        <f>J9*Assumption!$B$4</f>
        <v>0</v>
      </c>
      <c r="I9">
        <v>10</v>
      </c>
      <c r="J9">
        <f t="shared" si="1"/>
        <v>0</v>
      </c>
      <c r="K9">
        <v>10</v>
      </c>
      <c r="X9">
        <f t="shared" si="2"/>
        <v>0</v>
      </c>
      <c r="Y9">
        <f t="shared" si="3"/>
        <v>0</v>
      </c>
      <c r="Z9">
        <v>0</v>
      </c>
      <c r="AA9">
        <f t="shared" si="0"/>
        <v>0</v>
      </c>
      <c r="AB9">
        <f t="shared" si="0"/>
        <v>0</v>
      </c>
      <c r="AC9">
        <f t="shared" si="0"/>
        <v>0</v>
      </c>
      <c r="AD9">
        <f t="shared" si="0"/>
        <v>0</v>
      </c>
      <c r="AE9">
        <f t="shared" si="0"/>
        <v>0</v>
      </c>
      <c r="AF9">
        <f t="shared" si="0"/>
        <v>0</v>
      </c>
      <c r="AG9">
        <f t="shared" si="0"/>
        <v>0</v>
      </c>
      <c r="AH9">
        <f t="shared" si="0"/>
        <v>0</v>
      </c>
      <c r="AI9">
        <f t="shared" si="0"/>
        <v>0</v>
      </c>
      <c r="AJ9">
        <f t="shared" si="0"/>
        <v>0</v>
      </c>
    </row>
    <row r="10" spans="1:36" x14ac:dyDescent="0.25">
      <c r="A10" t="s">
        <v>36</v>
      </c>
      <c r="B10" t="s">
        <v>37</v>
      </c>
      <c r="C10" t="s">
        <v>37</v>
      </c>
      <c r="D10" t="s">
        <v>38</v>
      </c>
      <c r="E10" t="s">
        <v>47</v>
      </c>
      <c r="F10">
        <f>J10*Assumption!$B$2</f>
        <v>0</v>
      </c>
      <c r="G10">
        <f>J10*Assumption!$B$3</f>
        <v>0</v>
      </c>
      <c r="H10">
        <f>J10*Assumption!$B$4</f>
        <v>0</v>
      </c>
      <c r="I10">
        <v>10</v>
      </c>
      <c r="J10">
        <f t="shared" si="1"/>
        <v>0</v>
      </c>
      <c r="K10">
        <v>10</v>
      </c>
      <c r="X10">
        <f t="shared" si="2"/>
        <v>0</v>
      </c>
      <c r="Y10">
        <f t="shared" si="3"/>
        <v>0</v>
      </c>
      <c r="Z10">
        <v>0</v>
      </c>
      <c r="AA10">
        <f t="shared" si="0"/>
        <v>0</v>
      </c>
      <c r="AB10">
        <f t="shared" si="0"/>
        <v>0</v>
      </c>
      <c r="AC10">
        <f t="shared" si="0"/>
        <v>0</v>
      </c>
      <c r="AD10">
        <f t="shared" si="0"/>
        <v>0</v>
      </c>
      <c r="AE10">
        <f t="shared" si="0"/>
        <v>0</v>
      </c>
      <c r="AF10">
        <f t="shared" si="0"/>
        <v>0</v>
      </c>
      <c r="AG10">
        <f t="shared" si="0"/>
        <v>0</v>
      </c>
      <c r="AH10">
        <f t="shared" si="0"/>
        <v>0</v>
      </c>
      <c r="AI10">
        <f t="shared" si="0"/>
        <v>0</v>
      </c>
      <c r="AJ10">
        <f t="shared" si="0"/>
        <v>0</v>
      </c>
    </row>
    <row r="11" spans="1:36" x14ac:dyDescent="0.25">
      <c r="A11" t="s">
        <v>36</v>
      </c>
      <c r="B11" t="s">
        <v>37</v>
      </c>
      <c r="C11" t="s">
        <v>37</v>
      </c>
      <c r="D11" t="s">
        <v>38</v>
      </c>
      <c r="E11" t="s">
        <v>48</v>
      </c>
      <c r="F11">
        <f>J11*Assumption!$B$2</f>
        <v>0</v>
      </c>
      <c r="G11">
        <f>J11*Assumption!$B$3</f>
        <v>0</v>
      </c>
      <c r="H11">
        <f>J11*Assumption!$B$4</f>
        <v>0</v>
      </c>
      <c r="I11">
        <v>10</v>
      </c>
      <c r="J11">
        <f t="shared" si="1"/>
        <v>0</v>
      </c>
      <c r="K11">
        <v>10</v>
      </c>
      <c r="X11">
        <f t="shared" si="2"/>
        <v>0</v>
      </c>
      <c r="Y11">
        <f t="shared" si="3"/>
        <v>0</v>
      </c>
      <c r="Z11">
        <v>0</v>
      </c>
      <c r="AA11">
        <f t="shared" si="0"/>
        <v>0</v>
      </c>
      <c r="AB11">
        <f t="shared" si="0"/>
        <v>0</v>
      </c>
      <c r="AC11">
        <f t="shared" si="0"/>
        <v>0</v>
      </c>
      <c r="AD11">
        <f t="shared" si="0"/>
        <v>0</v>
      </c>
      <c r="AE11">
        <f t="shared" si="0"/>
        <v>0</v>
      </c>
      <c r="AF11">
        <f t="shared" si="0"/>
        <v>0</v>
      </c>
      <c r="AG11">
        <f t="shared" si="0"/>
        <v>0</v>
      </c>
      <c r="AH11">
        <f t="shared" si="0"/>
        <v>0</v>
      </c>
      <c r="AI11">
        <f t="shared" si="0"/>
        <v>0</v>
      </c>
      <c r="AJ11">
        <f t="shared" si="0"/>
        <v>0</v>
      </c>
    </row>
    <row r="12" spans="1:36" x14ac:dyDescent="0.25">
      <c r="A12" t="s">
        <v>36</v>
      </c>
      <c r="B12" t="s">
        <v>37</v>
      </c>
      <c r="C12" t="s">
        <v>37</v>
      </c>
      <c r="D12" t="s">
        <v>38</v>
      </c>
      <c r="E12" t="s">
        <v>49</v>
      </c>
      <c r="F12">
        <f>J12*Assumption!$B$2</f>
        <v>0</v>
      </c>
      <c r="G12">
        <f>J12*Assumption!$B$3</f>
        <v>0</v>
      </c>
      <c r="H12">
        <f>J12*Assumption!$B$4</f>
        <v>0</v>
      </c>
      <c r="I12">
        <v>10</v>
      </c>
      <c r="J12">
        <f t="shared" si="1"/>
        <v>0</v>
      </c>
      <c r="K12">
        <v>10</v>
      </c>
      <c r="X12">
        <f t="shared" si="2"/>
        <v>0</v>
      </c>
      <c r="Y12">
        <f t="shared" si="3"/>
        <v>0</v>
      </c>
      <c r="Z12">
        <v>0</v>
      </c>
      <c r="AA12">
        <f t="shared" si="0"/>
        <v>0</v>
      </c>
      <c r="AB12">
        <f t="shared" si="0"/>
        <v>0</v>
      </c>
      <c r="AC12">
        <f t="shared" si="0"/>
        <v>0</v>
      </c>
      <c r="AD12">
        <f t="shared" si="0"/>
        <v>0</v>
      </c>
      <c r="AE12">
        <f t="shared" si="0"/>
        <v>0</v>
      </c>
      <c r="AF12">
        <f t="shared" si="0"/>
        <v>0</v>
      </c>
      <c r="AG12">
        <f t="shared" si="0"/>
        <v>0</v>
      </c>
      <c r="AH12">
        <f t="shared" si="0"/>
        <v>0</v>
      </c>
      <c r="AI12">
        <f t="shared" si="0"/>
        <v>0</v>
      </c>
      <c r="AJ12">
        <f t="shared" si="0"/>
        <v>0</v>
      </c>
    </row>
    <row r="13" spans="1:36" x14ac:dyDescent="0.25">
      <c r="A13" t="s">
        <v>36</v>
      </c>
      <c r="B13" t="s">
        <v>37</v>
      </c>
      <c r="C13" t="s">
        <v>37</v>
      </c>
      <c r="D13" t="s">
        <v>38</v>
      </c>
      <c r="E13" t="s">
        <v>50</v>
      </c>
      <c r="F13">
        <f>J13*Assumption!$B$2</f>
        <v>0</v>
      </c>
      <c r="G13">
        <f>J13*Assumption!$B$3</f>
        <v>0</v>
      </c>
      <c r="H13">
        <f>J13*Assumption!$B$4</f>
        <v>0</v>
      </c>
      <c r="I13">
        <v>10</v>
      </c>
      <c r="J13">
        <f t="shared" si="1"/>
        <v>0</v>
      </c>
      <c r="K13">
        <v>10</v>
      </c>
      <c r="X13">
        <f t="shared" si="2"/>
        <v>0</v>
      </c>
      <c r="Y13">
        <f t="shared" si="3"/>
        <v>0</v>
      </c>
      <c r="Z13">
        <v>0</v>
      </c>
      <c r="AA13">
        <f t="shared" si="0"/>
        <v>0</v>
      </c>
      <c r="AB13">
        <f t="shared" si="0"/>
        <v>0</v>
      </c>
      <c r="AC13">
        <f t="shared" si="0"/>
        <v>0</v>
      </c>
      <c r="AD13">
        <f t="shared" si="0"/>
        <v>0</v>
      </c>
      <c r="AE13">
        <f t="shared" si="0"/>
        <v>0</v>
      </c>
      <c r="AF13">
        <f t="shared" si="0"/>
        <v>0</v>
      </c>
      <c r="AG13">
        <f t="shared" si="0"/>
        <v>0</v>
      </c>
      <c r="AH13">
        <f t="shared" si="0"/>
        <v>0</v>
      </c>
      <c r="AI13">
        <f t="shared" si="0"/>
        <v>0</v>
      </c>
      <c r="AJ13">
        <f t="shared" si="0"/>
        <v>0</v>
      </c>
    </row>
    <row r="14" spans="1:36" x14ac:dyDescent="0.25">
      <c r="A14" t="s">
        <v>36</v>
      </c>
      <c r="B14" t="s">
        <v>37</v>
      </c>
      <c r="C14" t="s">
        <v>37</v>
      </c>
      <c r="D14" t="s">
        <v>38</v>
      </c>
      <c r="E14" t="s">
        <v>51</v>
      </c>
      <c r="F14">
        <f>J14*Assumption!$B$2</f>
        <v>0</v>
      </c>
      <c r="G14">
        <f>J14*Assumption!$B$3</f>
        <v>0</v>
      </c>
      <c r="H14">
        <f>J14*Assumption!$B$4</f>
        <v>0</v>
      </c>
      <c r="I14">
        <v>10</v>
      </c>
      <c r="J14">
        <f t="shared" si="1"/>
        <v>0</v>
      </c>
      <c r="K14">
        <v>10</v>
      </c>
      <c r="X14">
        <f t="shared" si="2"/>
        <v>0</v>
      </c>
      <c r="Y14">
        <f t="shared" si="3"/>
        <v>0</v>
      </c>
      <c r="Z14">
        <v>0</v>
      </c>
      <c r="AA14">
        <f t="shared" si="0"/>
        <v>0</v>
      </c>
      <c r="AB14">
        <f t="shared" si="0"/>
        <v>0</v>
      </c>
      <c r="AC14">
        <f t="shared" si="0"/>
        <v>0</v>
      </c>
      <c r="AD14">
        <f t="shared" si="0"/>
        <v>0</v>
      </c>
      <c r="AE14">
        <f t="shared" si="0"/>
        <v>0</v>
      </c>
      <c r="AF14">
        <f t="shared" si="0"/>
        <v>0</v>
      </c>
      <c r="AG14">
        <f t="shared" si="0"/>
        <v>0</v>
      </c>
      <c r="AH14">
        <f t="shared" si="0"/>
        <v>0</v>
      </c>
      <c r="AI14">
        <f t="shared" si="0"/>
        <v>0</v>
      </c>
      <c r="AJ14">
        <f t="shared" si="0"/>
        <v>0</v>
      </c>
    </row>
    <row r="15" spans="1:36" x14ac:dyDescent="0.25">
      <c r="A15" t="s">
        <v>36</v>
      </c>
      <c r="B15" t="s">
        <v>52</v>
      </c>
      <c r="C15" t="s">
        <v>52</v>
      </c>
      <c r="D15" t="s">
        <v>38</v>
      </c>
      <c r="E15" t="s">
        <v>53</v>
      </c>
      <c r="F15">
        <f>J15*Assumption!$B$2</f>
        <v>100000</v>
      </c>
      <c r="G15">
        <f>J15*Assumption!$B$3</f>
        <v>100000</v>
      </c>
      <c r="H15">
        <f>J15*Assumption!$B$4</f>
        <v>100000</v>
      </c>
      <c r="I15">
        <v>10</v>
      </c>
      <c r="J15">
        <f t="shared" si="1"/>
        <v>100</v>
      </c>
      <c r="K15">
        <v>10</v>
      </c>
      <c r="O15">
        <v>50</v>
      </c>
      <c r="P15">
        <v>50</v>
      </c>
      <c r="X15">
        <f t="shared" si="2"/>
        <v>110</v>
      </c>
      <c r="Y15">
        <f t="shared" si="3"/>
        <v>0</v>
      </c>
      <c r="Z15">
        <v>0</v>
      </c>
      <c r="AA15">
        <f t="shared" si="0"/>
        <v>0</v>
      </c>
      <c r="AB15">
        <f t="shared" si="0"/>
        <v>55</v>
      </c>
      <c r="AC15">
        <f t="shared" si="0"/>
        <v>55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</row>
    <row r="16" spans="1:36" x14ac:dyDescent="0.25">
      <c r="A16" t="s">
        <v>36</v>
      </c>
      <c r="B16" t="s">
        <v>52</v>
      </c>
      <c r="C16" t="s">
        <v>52</v>
      </c>
      <c r="D16" t="s">
        <v>38</v>
      </c>
      <c r="E16" t="s">
        <v>54</v>
      </c>
      <c r="F16">
        <f>J16*Assumption!$B$2</f>
        <v>300000</v>
      </c>
      <c r="G16">
        <f>J16*Assumption!$B$3</f>
        <v>300000</v>
      </c>
      <c r="H16">
        <f>J16*Assumption!$B$4</f>
        <v>300000</v>
      </c>
      <c r="I16">
        <v>10</v>
      </c>
      <c r="J16">
        <f t="shared" si="1"/>
        <v>300</v>
      </c>
      <c r="K16">
        <v>10</v>
      </c>
      <c r="Q16">
        <v>50</v>
      </c>
      <c r="R16">
        <v>50</v>
      </c>
      <c r="S16">
        <v>50</v>
      </c>
      <c r="T16">
        <v>50</v>
      </c>
      <c r="U16">
        <v>50</v>
      </c>
      <c r="V16">
        <v>50</v>
      </c>
      <c r="X16">
        <f t="shared" si="2"/>
        <v>330</v>
      </c>
      <c r="Y16">
        <f t="shared" si="3"/>
        <v>0</v>
      </c>
      <c r="Z16">
        <v>0</v>
      </c>
      <c r="AA16">
        <f t="shared" si="0"/>
        <v>0</v>
      </c>
      <c r="AB16">
        <f t="shared" si="0"/>
        <v>0</v>
      </c>
      <c r="AC16">
        <f t="shared" si="0"/>
        <v>0</v>
      </c>
      <c r="AD16">
        <f t="shared" si="0"/>
        <v>55</v>
      </c>
      <c r="AE16">
        <f t="shared" si="0"/>
        <v>55</v>
      </c>
      <c r="AF16">
        <f t="shared" si="0"/>
        <v>55</v>
      </c>
      <c r="AG16">
        <f t="shared" si="0"/>
        <v>55</v>
      </c>
      <c r="AH16">
        <f t="shared" si="0"/>
        <v>55</v>
      </c>
      <c r="AI16">
        <f t="shared" si="0"/>
        <v>55</v>
      </c>
      <c r="AJ16">
        <f t="shared" si="0"/>
        <v>0</v>
      </c>
    </row>
    <row r="17" spans="1:36" x14ac:dyDescent="0.25">
      <c r="A17" t="s">
        <v>36</v>
      </c>
      <c r="B17" t="s">
        <v>52</v>
      </c>
      <c r="C17" t="s">
        <v>52</v>
      </c>
      <c r="D17" t="s">
        <v>38</v>
      </c>
      <c r="E17" t="s">
        <v>55</v>
      </c>
      <c r="F17">
        <f>J17*Assumption!$B$2</f>
        <v>100000</v>
      </c>
      <c r="G17">
        <f>J17*Assumption!$B$3</f>
        <v>100000</v>
      </c>
      <c r="H17">
        <f>J17*Assumption!$B$4</f>
        <v>100000</v>
      </c>
      <c r="I17">
        <v>10</v>
      </c>
      <c r="J17">
        <f t="shared" si="1"/>
        <v>100</v>
      </c>
      <c r="K17">
        <v>10</v>
      </c>
      <c r="Q17">
        <v>50</v>
      </c>
      <c r="R17">
        <v>50</v>
      </c>
      <c r="X17">
        <f t="shared" si="2"/>
        <v>110</v>
      </c>
      <c r="Y17">
        <f t="shared" si="3"/>
        <v>0</v>
      </c>
      <c r="Z17">
        <v>0</v>
      </c>
      <c r="AA17">
        <f t="shared" si="0"/>
        <v>0</v>
      </c>
      <c r="AB17">
        <f t="shared" si="0"/>
        <v>0</v>
      </c>
      <c r="AC17">
        <f t="shared" si="0"/>
        <v>0</v>
      </c>
      <c r="AD17">
        <f t="shared" si="0"/>
        <v>55</v>
      </c>
      <c r="AE17">
        <f t="shared" si="0"/>
        <v>55</v>
      </c>
      <c r="AF17">
        <f t="shared" si="0"/>
        <v>0</v>
      </c>
      <c r="AG17">
        <f t="shared" si="0"/>
        <v>0</v>
      </c>
      <c r="AH17">
        <f t="shared" si="0"/>
        <v>0</v>
      </c>
      <c r="AI17">
        <f t="shared" si="0"/>
        <v>0</v>
      </c>
      <c r="AJ17">
        <f t="shared" si="0"/>
        <v>0</v>
      </c>
    </row>
    <row r="18" spans="1:36" x14ac:dyDescent="0.25">
      <c r="A18" t="s">
        <v>36</v>
      </c>
      <c r="B18" t="s">
        <v>52</v>
      </c>
      <c r="C18" t="s">
        <v>52</v>
      </c>
      <c r="D18" t="s">
        <v>38</v>
      </c>
      <c r="E18" t="s">
        <v>56</v>
      </c>
      <c r="F18">
        <f>J18*Assumption!$B$2</f>
        <v>100000</v>
      </c>
      <c r="G18">
        <f>J18*Assumption!$B$3</f>
        <v>100000</v>
      </c>
      <c r="H18">
        <f>J18*Assumption!$B$4</f>
        <v>100000</v>
      </c>
      <c r="I18">
        <v>10</v>
      </c>
      <c r="J18">
        <f t="shared" si="1"/>
        <v>100</v>
      </c>
      <c r="K18">
        <v>10</v>
      </c>
      <c r="R18">
        <v>50</v>
      </c>
      <c r="S18">
        <v>50</v>
      </c>
      <c r="X18">
        <f t="shared" si="2"/>
        <v>110</v>
      </c>
      <c r="Y18">
        <f t="shared" si="3"/>
        <v>0</v>
      </c>
      <c r="Z18">
        <v>0</v>
      </c>
      <c r="AA18">
        <f t="shared" ref="AA18:AD81" si="4">ROUND(N18*(100+$K18)/100,0)</f>
        <v>0</v>
      </c>
      <c r="AB18">
        <f t="shared" si="4"/>
        <v>0</v>
      </c>
      <c r="AC18">
        <f t="shared" si="4"/>
        <v>0</v>
      </c>
      <c r="AD18">
        <f t="shared" si="4"/>
        <v>0</v>
      </c>
      <c r="AE18">
        <f t="shared" ref="AE18:AH81" si="5">ROUND(R18*(100+$K18)/100,0)</f>
        <v>55</v>
      </c>
      <c r="AF18">
        <f t="shared" si="5"/>
        <v>55</v>
      </c>
      <c r="AG18">
        <f t="shared" si="5"/>
        <v>0</v>
      </c>
      <c r="AH18">
        <f t="shared" si="5"/>
        <v>0</v>
      </c>
      <c r="AI18">
        <f t="shared" ref="AI18:AJ81" si="6">ROUND(V18*(100+$K18)/100,0)</f>
        <v>0</v>
      </c>
      <c r="AJ18">
        <f t="shared" si="6"/>
        <v>0</v>
      </c>
    </row>
    <row r="19" spans="1:36" x14ac:dyDescent="0.25">
      <c r="A19" t="s">
        <v>36</v>
      </c>
      <c r="B19" t="s">
        <v>52</v>
      </c>
      <c r="C19" t="s">
        <v>52</v>
      </c>
      <c r="D19" t="s">
        <v>38</v>
      </c>
      <c r="E19" t="s">
        <v>57</v>
      </c>
      <c r="F19">
        <f>J19*Assumption!$B$2</f>
        <v>100000</v>
      </c>
      <c r="G19">
        <f>J19*Assumption!$B$3</f>
        <v>100000</v>
      </c>
      <c r="H19">
        <f>J19*Assumption!$B$4</f>
        <v>100000</v>
      </c>
      <c r="I19">
        <v>10</v>
      </c>
      <c r="J19">
        <f t="shared" si="1"/>
        <v>100</v>
      </c>
      <c r="K19">
        <v>10</v>
      </c>
      <c r="S19">
        <v>50</v>
      </c>
      <c r="T19">
        <v>50</v>
      </c>
      <c r="X19">
        <f t="shared" si="2"/>
        <v>110</v>
      </c>
      <c r="Y19">
        <f t="shared" si="3"/>
        <v>0</v>
      </c>
      <c r="Z19">
        <v>0</v>
      </c>
      <c r="AA19">
        <f t="shared" si="4"/>
        <v>0</v>
      </c>
      <c r="AB19">
        <f t="shared" si="4"/>
        <v>0</v>
      </c>
      <c r="AC19">
        <f t="shared" si="4"/>
        <v>0</v>
      </c>
      <c r="AD19">
        <f t="shared" si="4"/>
        <v>0</v>
      </c>
      <c r="AE19">
        <f t="shared" si="5"/>
        <v>0</v>
      </c>
      <c r="AF19">
        <f t="shared" si="5"/>
        <v>55</v>
      </c>
      <c r="AG19">
        <f t="shared" si="5"/>
        <v>55</v>
      </c>
      <c r="AH19">
        <f t="shared" si="5"/>
        <v>0</v>
      </c>
      <c r="AI19">
        <f t="shared" si="6"/>
        <v>0</v>
      </c>
      <c r="AJ19">
        <f t="shared" si="6"/>
        <v>0</v>
      </c>
    </row>
    <row r="20" spans="1:36" x14ac:dyDescent="0.25">
      <c r="A20" t="s">
        <v>36</v>
      </c>
      <c r="B20" t="s">
        <v>52</v>
      </c>
      <c r="C20" t="s">
        <v>52</v>
      </c>
      <c r="D20" t="s">
        <v>38</v>
      </c>
      <c r="E20" t="s">
        <v>58</v>
      </c>
      <c r="F20">
        <f>J20*Assumption!$B$2</f>
        <v>100000</v>
      </c>
      <c r="G20">
        <f>J20*Assumption!$B$3</f>
        <v>100000</v>
      </c>
      <c r="H20">
        <f>J20*Assumption!$B$4</f>
        <v>100000</v>
      </c>
      <c r="I20">
        <v>10</v>
      </c>
      <c r="J20">
        <f t="shared" si="1"/>
        <v>100</v>
      </c>
      <c r="K20">
        <v>10</v>
      </c>
      <c r="T20">
        <v>50</v>
      </c>
      <c r="U20">
        <v>50</v>
      </c>
      <c r="X20">
        <f t="shared" si="2"/>
        <v>110</v>
      </c>
      <c r="Y20">
        <f t="shared" si="3"/>
        <v>0</v>
      </c>
      <c r="Z20">
        <v>0</v>
      </c>
      <c r="AA20">
        <f t="shared" si="4"/>
        <v>0</v>
      </c>
      <c r="AB20">
        <f t="shared" si="4"/>
        <v>0</v>
      </c>
      <c r="AC20">
        <f t="shared" si="4"/>
        <v>0</v>
      </c>
      <c r="AD20">
        <f t="shared" si="4"/>
        <v>0</v>
      </c>
      <c r="AE20">
        <f t="shared" si="5"/>
        <v>0</v>
      </c>
      <c r="AF20">
        <f t="shared" si="5"/>
        <v>0</v>
      </c>
      <c r="AG20">
        <f t="shared" si="5"/>
        <v>55</v>
      </c>
      <c r="AH20">
        <f t="shared" si="5"/>
        <v>55</v>
      </c>
      <c r="AI20">
        <f t="shared" si="6"/>
        <v>0</v>
      </c>
      <c r="AJ20">
        <f t="shared" si="6"/>
        <v>0</v>
      </c>
    </row>
    <row r="21" spans="1:36" x14ac:dyDescent="0.25">
      <c r="A21" t="s">
        <v>36</v>
      </c>
      <c r="B21" t="s">
        <v>52</v>
      </c>
      <c r="C21" t="s">
        <v>52</v>
      </c>
      <c r="D21" t="s">
        <v>38</v>
      </c>
      <c r="E21" t="s">
        <v>59</v>
      </c>
      <c r="F21">
        <f>J21*Assumption!$B$2</f>
        <v>100000</v>
      </c>
      <c r="G21">
        <f>J21*Assumption!$B$3</f>
        <v>100000</v>
      </c>
      <c r="H21">
        <f>J21*Assumption!$B$4</f>
        <v>100000</v>
      </c>
      <c r="I21">
        <v>10</v>
      </c>
      <c r="J21">
        <f t="shared" si="1"/>
        <v>100</v>
      </c>
      <c r="K21">
        <v>10</v>
      </c>
      <c r="U21">
        <v>50</v>
      </c>
      <c r="V21">
        <v>50</v>
      </c>
      <c r="X21">
        <f t="shared" si="2"/>
        <v>110</v>
      </c>
      <c r="Y21">
        <f t="shared" si="3"/>
        <v>0</v>
      </c>
      <c r="Z21">
        <v>0</v>
      </c>
      <c r="AA21">
        <f t="shared" si="4"/>
        <v>0</v>
      </c>
      <c r="AB21">
        <f t="shared" si="4"/>
        <v>0</v>
      </c>
      <c r="AC21">
        <f t="shared" si="4"/>
        <v>0</v>
      </c>
      <c r="AD21">
        <f t="shared" si="4"/>
        <v>0</v>
      </c>
      <c r="AE21">
        <f t="shared" si="5"/>
        <v>0</v>
      </c>
      <c r="AF21">
        <f t="shared" si="5"/>
        <v>0</v>
      </c>
      <c r="AG21">
        <f t="shared" si="5"/>
        <v>0</v>
      </c>
      <c r="AH21">
        <f t="shared" si="5"/>
        <v>55</v>
      </c>
      <c r="AI21">
        <f t="shared" si="6"/>
        <v>55</v>
      </c>
      <c r="AJ21">
        <f t="shared" si="6"/>
        <v>0</v>
      </c>
    </row>
    <row r="22" spans="1:36" x14ac:dyDescent="0.25">
      <c r="A22" t="s">
        <v>36</v>
      </c>
      <c r="B22" t="s">
        <v>52</v>
      </c>
      <c r="C22" t="s">
        <v>52</v>
      </c>
      <c r="D22" t="s">
        <v>38</v>
      </c>
      <c r="E22" t="s">
        <v>60</v>
      </c>
      <c r="F22">
        <f>J22*Assumption!$B$2</f>
        <v>100000</v>
      </c>
      <c r="G22">
        <f>J22*Assumption!$B$3</f>
        <v>100000</v>
      </c>
      <c r="H22">
        <f>J22*Assumption!$B$4</f>
        <v>100000</v>
      </c>
      <c r="I22">
        <v>10</v>
      </c>
      <c r="J22">
        <f t="shared" si="1"/>
        <v>100</v>
      </c>
      <c r="K22">
        <v>10</v>
      </c>
      <c r="V22">
        <v>50</v>
      </c>
      <c r="W22">
        <v>50</v>
      </c>
      <c r="X22">
        <f t="shared" si="2"/>
        <v>110</v>
      </c>
      <c r="Y22">
        <f t="shared" si="3"/>
        <v>0</v>
      </c>
      <c r="Z22">
        <v>0</v>
      </c>
      <c r="AA22">
        <f t="shared" si="4"/>
        <v>0</v>
      </c>
      <c r="AB22">
        <f t="shared" si="4"/>
        <v>0</v>
      </c>
      <c r="AC22">
        <f t="shared" si="4"/>
        <v>0</v>
      </c>
      <c r="AD22">
        <f t="shared" si="4"/>
        <v>0</v>
      </c>
      <c r="AE22">
        <f t="shared" si="5"/>
        <v>0</v>
      </c>
      <c r="AF22">
        <f t="shared" si="5"/>
        <v>0</v>
      </c>
      <c r="AG22">
        <f t="shared" si="5"/>
        <v>0</v>
      </c>
      <c r="AH22">
        <f t="shared" si="5"/>
        <v>0</v>
      </c>
      <c r="AI22">
        <f t="shared" si="6"/>
        <v>55</v>
      </c>
      <c r="AJ22">
        <f t="shared" si="6"/>
        <v>55</v>
      </c>
    </row>
    <row r="23" spans="1:36" x14ac:dyDescent="0.25">
      <c r="A23" t="s">
        <v>36</v>
      </c>
      <c r="B23" t="s">
        <v>52</v>
      </c>
      <c r="C23" t="s">
        <v>52</v>
      </c>
      <c r="D23" t="s">
        <v>38</v>
      </c>
      <c r="E23" t="s">
        <v>61</v>
      </c>
      <c r="F23">
        <f>J23*Assumption!$B$2</f>
        <v>50000</v>
      </c>
      <c r="G23">
        <f>J23*Assumption!$B$3</f>
        <v>50000</v>
      </c>
      <c r="H23">
        <f>J23*Assumption!$B$4</f>
        <v>50000</v>
      </c>
      <c r="I23">
        <v>10</v>
      </c>
      <c r="J23">
        <f t="shared" si="1"/>
        <v>50</v>
      </c>
      <c r="K23">
        <v>10</v>
      </c>
      <c r="W23">
        <v>50</v>
      </c>
      <c r="X23">
        <f t="shared" si="2"/>
        <v>55</v>
      </c>
      <c r="Y23">
        <f t="shared" si="3"/>
        <v>0</v>
      </c>
      <c r="Z23">
        <v>0</v>
      </c>
      <c r="AA23">
        <f t="shared" si="4"/>
        <v>0</v>
      </c>
      <c r="AB23">
        <f t="shared" si="4"/>
        <v>0</v>
      </c>
      <c r="AC23">
        <f t="shared" si="4"/>
        <v>0</v>
      </c>
      <c r="AD23">
        <f t="shared" si="4"/>
        <v>0</v>
      </c>
      <c r="AE23">
        <f t="shared" si="5"/>
        <v>0</v>
      </c>
      <c r="AF23">
        <f t="shared" si="5"/>
        <v>0</v>
      </c>
      <c r="AG23">
        <f t="shared" si="5"/>
        <v>0</v>
      </c>
      <c r="AH23">
        <f t="shared" si="5"/>
        <v>0</v>
      </c>
      <c r="AI23">
        <f t="shared" si="6"/>
        <v>0</v>
      </c>
      <c r="AJ23">
        <f t="shared" si="6"/>
        <v>55</v>
      </c>
    </row>
    <row r="24" spans="1:36" x14ac:dyDescent="0.25">
      <c r="A24" t="s">
        <v>36</v>
      </c>
      <c r="B24" t="s">
        <v>52</v>
      </c>
      <c r="C24" t="s">
        <v>52</v>
      </c>
      <c r="D24" t="s">
        <v>38</v>
      </c>
      <c r="E24" t="s">
        <v>62</v>
      </c>
      <c r="F24">
        <v>0</v>
      </c>
      <c r="G24">
        <f>J24*Assumption!$B$3</f>
        <v>0</v>
      </c>
      <c r="H24">
        <f>J24*Assumption!$B$4</f>
        <v>0</v>
      </c>
      <c r="I24">
        <v>10</v>
      </c>
      <c r="J24">
        <f t="shared" si="1"/>
        <v>0</v>
      </c>
      <c r="K24">
        <v>10</v>
      </c>
      <c r="X24">
        <f t="shared" si="2"/>
        <v>0</v>
      </c>
      <c r="Y24">
        <f t="shared" si="3"/>
        <v>0</v>
      </c>
      <c r="Z24">
        <v>0</v>
      </c>
      <c r="AA24">
        <f t="shared" si="4"/>
        <v>0</v>
      </c>
      <c r="AB24">
        <f t="shared" si="4"/>
        <v>0</v>
      </c>
      <c r="AC24">
        <f t="shared" si="4"/>
        <v>0</v>
      </c>
      <c r="AD24">
        <f t="shared" si="4"/>
        <v>0</v>
      </c>
      <c r="AE24">
        <f t="shared" si="5"/>
        <v>0</v>
      </c>
      <c r="AF24">
        <f t="shared" si="5"/>
        <v>0</v>
      </c>
      <c r="AG24">
        <f t="shared" si="5"/>
        <v>0</v>
      </c>
      <c r="AH24">
        <f t="shared" si="5"/>
        <v>0</v>
      </c>
      <c r="AI24">
        <f t="shared" si="6"/>
        <v>0</v>
      </c>
      <c r="AJ24">
        <f t="shared" si="6"/>
        <v>0</v>
      </c>
    </row>
    <row r="25" spans="1:36" x14ac:dyDescent="0.25">
      <c r="A25" t="s">
        <v>36</v>
      </c>
      <c r="B25" t="s">
        <v>52</v>
      </c>
      <c r="C25" t="s">
        <v>52</v>
      </c>
      <c r="D25" t="s">
        <v>38</v>
      </c>
      <c r="E25" t="s">
        <v>63</v>
      </c>
      <c r="F25">
        <v>0</v>
      </c>
      <c r="G25">
        <f>J25*Assumption!$B$3</f>
        <v>0</v>
      </c>
      <c r="H25">
        <f>J25*Assumption!$B$4</f>
        <v>0</v>
      </c>
      <c r="I25">
        <v>10</v>
      </c>
      <c r="J25">
        <f t="shared" si="1"/>
        <v>0</v>
      </c>
      <c r="K25">
        <v>10</v>
      </c>
      <c r="X25">
        <f t="shared" si="2"/>
        <v>0</v>
      </c>
      <c r="Y25">
        <f t="shared" si="3"/>
        <v>0</v>
      </c>
      <c r="Z25">
        <v>0</v>
      </c>
      <c r="AA25">
        <f t="shared" si="4"/>
        <v>0</v>
      </c>
      <c r="AB25">
        <f t="shared" si="4"/>
        <v>0</v>
      </c>
      <c r="AC25">
        <f t="shared" si="4"/>
        <v>0</v>
      </c>
      <c r="AD25">
        <f t="shared" si="4"/>
        <v>0</v>
      </c>
      <c r="AE25">
        <f t="shared" si="5"/>
        <v>0</v>
      </c>
      <c r="AF25">
        <f t="shared" si="5"/>
        <v>0</v>
      </c>
      <c r="AG25">
        <f t="shared" si="5"/>
        <v>0</v>
      </c>
      <c r="AH25">
        <f t="shared" si="5"/>
        <v>0</v>
      </c>
      <c r="AI25">
        <f t="shared" si="6"/>
        <v>0</v>
      </c>
      <c r="AJ25">
        <f t="shared" si="6"/>
        <v>0</v>
      </c>
    </row>
    <row r="26" spans="1:36" x14ac:dyDescent="0.25">
      <c r="A26" t="s">
        <v>36</v>
      </c>
      <c r="B26" t="s">
        <v>64</v>
      </c>
      <c r="C26" t="s">
        <v>64</v>
      </c>
      <c r="D26" t="s">
        <v>65</v>
      </c>
      <c r="E26" t="s">
        <v>66</v>
      </c>
      <c r="F26">
        <v>111000</v>
      </c>
      <c r="G26">
        <f>J26*Assumption!$B$3</f>
        <v>50000</v>
      </c>
      <c r="H26">
        <f>J26*Assumption!$B$4</f>
        <v>50000</v>
      </c>
      <c r="I26">
        <v>10</v>
      </c>
      <c r="J26">
        <f t="shared" si="1"/>
        <v>50</v>
      </c>
      <c r="K26">
        <v>10</v>
      </c>
      <c r="L26">
        <v>0</v>
      </c>
      <c r="M26">
        <v>0</v>
      </c>
      <c r="N26">
        <v>0</v>
      </c>
      <c r="O26">
        <v>50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f t="shared" si="2"/>
        <v>55</v>
      </c>
      <c r="Y26">
        <f t="shared" si="3"/>
        <v>0</v>
      </c>
      <c r="Z26">
        <v>0</v>
      </c>
      <c r="AA26">
        <f t="shared" si="4"/>
        <v>0</v>
      </c>
      <c r="AB26">
        <f t="shared" si="4"/>
        <v>55</v>
      </c>
      <c r="AC26">
        <f t="shared" si="4"/>
        <v>0</v>
      </c>
      <c r="AD26">
        <f t="shared" si="4"/>
        <v>0</v>
      </c>
      <c r="AE26">
        <f t="shared" si="5"/>
        <v>0</v>
      </c>
      <c r="AF26">
        <f t="shared" si="5"/>
        <v>0</v>
      </c>
      <c r="AG26">
        <f t="shared" si="5"/>
        <v>0</v>
      </c>
      <c r="AH26">
        <f t="shared" si="5"/>
        <v>0</v>
      </c>
      <c r="AI26">
        <f t="shared" si="6"/>
        <v>0</v>
      </c>
      <c r="AJ26">
        <f t="shared" si="6"/>
        <v>0</v>
      </c>
    </row>
    <row r="27" spans="1:36" x14ac:dyDescent="0.25">
      <c r="A27" t="s">
        <v>36</v>
      </c>
      <c r="B27" t="s">
        <v>64</v>
      </c>
      <c r="C27" t="s">
        <v>64</v>
      </c>
      <c r="D27" t="s">
        <v>65</v>
      </c>
      <c r="E27" t="s">
        <v>67</v>
      </c>
      <c r="F27">
        <v>111000</v>
      </c>
      <c r="G27">
        <f>J27*Assumption!$B$3</f>
        <v>100000</v>
      </c>
      <c r="H27">
        <f>J27*Assumption!$B$4</f>
        <v>100000</v>
      </c>
      <c r="I27">
        <v>10</v>
      </c>
      <c r="J27">
        <f t="shared" si="1"/>
        <v>100</v>
      </c>
      <c r="K27">
        <v>10</v>
      </c>
      <c r="L27">
        <v>0</v>
      </c>
      <c r="M27">
        <v>0</v>
      </c>
      <c r="N27">
        <v>0</v>
      </c>
      <c r="O27">
        <v>0</v>
      </c>
      <c r="P27">
        <v>50</v>
      </c>
      <c r="Q27">
        <v>50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f t="shared" si="2"/>
        <v>110</v>
      </c>
      <c r="Y27">
        <f t="shared" si="3"/>
        <v>0</v>
      </c>
      <c r="Z27">
        <v>0</v>
      </c>
      <c r="AA27">
        <f t="shared" si="4"/>
        <v>0</v>
      </c>
      <c r="AB27">
        <f t="shared" si="4"/>
        <v>0</v>
      </c>
      <c r="AC27">
        <f t="shared" si="4"/>
        <v>55</v>
      </c>
      <c r="AD27">
        <f t="shared" si="4"/>
        <v>55</v>
      </c>
      <c r="AE27">
        <f t="shared" si="5"/>
        <v>0</v>
      </c>
      <c r="AF27">
        <f t="shared" si="5"/>
        <v>0</v>
      </c>
      <c r="AG27">
        <f t="shared" si="5"/>
        <v>0</v>
      </c>
      <c r="AH27">
        <f t="shared" si="5"/>
        <v>0</v>
      </c>
      <c r="AI27">
        <f t="shared" si="6"/>
        <v>0</v>
      </c>
      <c r="AJ27">
        <f t="shared" si="6"/>
        <v>0</v>
      </c>
    </row>
    <row r="28" spans="1:36" x14ac:dyDescent="0.25">
      <c r="A28" t="s">
        <v>36</v>
      </c>
      <c r="B28" t="s">
        <v>64</v>
      </c>
      <c r="C28" t="s">
        <v>64</v>
      </c>
      <c r="D28" t="s">
        <v>65</v>
      </c>
      <c r="E28" t="s">
        <v>68</v>
      </c>
      <c r="F28">
        <v>150000</v>
      </c>
      <c r="G28">
        <f>J28*Assumption!$B$3</f>
        <v>150000</v>
      </c>
      <c r="H28">
        <f>J28*Assumption!$B$4</f>
        <v>150000</v>
      </c>
      <c r="I28">
        <v>10</v>
      </c>
      <c r="J28">
        <f t="shared" si="1"/>
        <v>150</v>
      </c>
      <c r="K28">
        <v>10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50</v>
      </c>
      <c r="S28">
        <v>50</v>
      </c>
      <c r="T28">
        <v>50</v>
      </c>
      <c r="U28">
        <v>0</v>
      </c>
      <c r="V28">
        <v>0</v>
      </c>
      <c r="W28">
        <v>0</v>
      </c>
      <c r="X28">
        <f t="shared" si="2"/>
        <v>165</v>
      </c>
      <c r="Y28">
        <f t="shared" si="3"/>
        <v>0</v>
      </c>
      <c r="Z28">
        <v>0</v>
      </c>
      <c r="AA28">
        <f t="shared" si="4"/>
        <v>0</v>
      </c>
      <c r="AB28">
        <f t="shared" si="4"/>
        <v>0</v>
      </c>
      <c r="AC28">
        <f t="shared" si="4"/>
        <v>0</v>
      </c>
      <c r="AD28">
        <f t="shared" si="4"/>
        <v>0</v>
      </c>
      <c r="AE28">
        <f t="shared" si="5"/>
        <v>55</v>
      </c>
      <c r="AF28">
        <f t="shared" si="5"/>
        <v>55</v>
      </c>
      <c r="AG28">
        <f t="shared" si="5"/>
        <v>55</v>
      </c>
      <c r="AH28">
        <f t="shared" si="5"/>
        <v>0</v>
      </c>
      <c r="AI28">
        <f t="shared" si="6"/>
        <v>0</v>
      </c>
      <c r="AJ28">
        <f t="shared" si="6"/>
        <v>0</v>
      </c>
    </row>
    <row r="29" spans="1:36" x14ac:dyDescent="0.25">
      <c r="A29" t="s">
        <v>36</v>
      </c>
      <c r="B29" t="s">
        <v>64</v>
      </c>
      <c r="C29" t="s">
        <v>64</v>
      </c>
      <c r="D29" t="s">
        <v>65</v>
      </c>
      <c r="E29" t="s">
        <v>69</v>
      </c>
      <c r="F29">
        <v>150000</v>
      </c>
      <c r="G29">
        <f>J29*Assumption!$B$3</f>
        <v>150000</v>
      </c>
      <c r="H29">
        <f>J29*Assumption!$B$4</f>
        <v>150000</v>
      </c>
      <c r="I29">
        <v>10</v>
      </c>
      <c r="J29">
        <f t="shared" si="1"/>
        <v>150</v>
      </c>
      <c r="K29">
        <v>10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50</v>
      </c>
      <c r="U29">
        <v>50</v>
      </c>
      <c r="V29">
        <v>50</v>
      </c>
      <c r="W29">
        <v>0</v>
      </c>
      <c r="X29">
        <f t="shared" si="2"/>
        <v>165</v>
      </c>
      <c r="Y29">
        <f t="shared" si="3"/>
        <v>0</v>
      </c>
      <c r="Z29">
        <v>0</v>
      </c>
      <c r="AA29">
        <f t="shared" si="4"/>
        <v>0</v>
      </c>
      <c r="AB29">
        <f t="shared" si="4"/>
        <v>0</v>
      </c>
      <c r="AC29">
        <f t="shared" si="4"/>
        <v>0</v>
      </c>
      <c r="AD29">
        <f t="shared" si="4"/>
        <v>0</v>
      </c>
      <c r="AE29">
        <f t="shared" si="5"/>
        <v>0</v>
      </c>
      <c r="AF29">
        <f t="shared" si="5"/>
        <v>0</v>
      </c>
      <c r="AG29">
        <f t="shared" si="5"/>
        <v>55</v>
      </c>
      <c r="AH29">
        <f t="shared" si="5"/>
        <v>55</v>
      </c>
      <c r="AI29">
        <f t="shared" si="6"/>
        <v>55</v>
      </c>
      <c r="AJ29">
        <f t="shared" si="6"/>
        <v>0</v>
      </c>
    </row>
    <row r="30" spans="1:36" x14ac:dyDescent="0.25">
      <c r="A30" t="s">
        <v>36</v>
      </c>
      <c r="B30" t="s">
        <v>64</v>
      </c>
      <c r="C30" t="s">
        <v>64</v>
      </c>
      <c r="D30" t="s">
        <v>65</v>
      </c>
      <c r="E30" t="s">
        <v>70</v>
      </c>
      <c r="F30">
        <v>30000</v>
      </c>
      <c r="G30">
        <f>J30*Assumption!$B$3</f>
        <v>50000</v>
      </c>
      <c r="H30">
        <f>J30*Assumption!$B$4</f>
        <v>50000</v>
      </c>
      <c r="I30">
        <v>10</v>
      </c>
      <c r="J30">
        <f t="shared" si="1"/>
        <v>50</v>
      </c>
      <c r="K30">
        <v>10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50</v>
      </c>
      <c r="X30">
        <f t="shared" si="2"/>
        <v>55</v>
      </c>
      <c r="Y30">
        <f t="shared" si="3"/>
        <v>0</v>
      </c>
      <c r="Z30">
        <v>0</v>
      </c>
      <c r="AA30">
        <f t="shared" si="4"/>
        <v>0</v>
      </c>
      <c r="AB30">
        <f t="shared" si="4"/>
        <v>0</v>
      </c>
      <c r="AC30">
        <f t="shared" si="4"/>
        <v>0</v>
      </c>
      <c r="AD30">
        <f t="shared" si="4"/>
        <v>0</v>
      </c>
      <c r="AE30">
        <f t="shared" si="5"/>
        <v>0</v>
      </c>
      <c r="AF30">
        <f t="shared" si="5"/>
        <v>0</v>
      </c>
      <c r="AG30">
        <f t="shared" si="5"/>
        <v>0</v>
      </c>
      <c r="AH30">
        <f t="shared" si="5"/>
        <v>0</v>
      </c>
      <c r="AI30">
        <f t="shared" si="6"/>
        <v>0</v>
      </c>
      <c r="AJ30">
        <f t="shared" si="6"/>
        <v>55</v>
      </c>
    </row>
    <row r="31" spans="1:36" x14ac:dyDescent="0.25">
      <c r="A31" t="s">
        <v>36</v>
      </c>
      <c r="B31" t="s">
        <v>71</v>
      </c>
      <c r="C31" t="s">
        <v>71</v>
      </c>
      <c r="D31" t="s">
        <v>65</v>
      </c>
      <c r="E31" t="s">
        <v>72</v>
      </c>
      <c r="F31">
        <v>195000</v>
      </c>
      <c r="G31">
        <f>J31*Assumption!$B$3</f>
        <v>200000</v>
      </c>
      <c r="H31">
        <f>J31*Assumption!$B$4</f>
        <v>200000</v>
      </c>
      <c r="I31">
        <v>10</v>
      </c>
      <c r="J31">
        <f t="shared" si="1"/>
        <v>200</v>
      </c>
      <c r="K31">
        <v>10</v>
      </c>
      <c r="T31">
        <v>50</v>
      </c>
      <c r="U31">
        <v>50</v>
      </c>
      <c r="V31">
        <v>50</v>
      </c>
      <c r="W31">
        <v>50</v>
      </c>
      <c r="X31">
        <f t="shared" si="2"/>
        <v>220</v>
      </c>
      <c r="Y31">
        <f t="shared" si="3"/>
        <v>0</v>
      </c>
      <c r="Z31">
        <v>0</v>
      </c>
      <c r="AA31">
        <f t="shared" si="4"/>
        <v>0</v>
      </c>
      <c r="AB31">
        <f t="shared" si="4"/>
        <v>0</v>
      </c>
      <c r="AC31">
        <f t="shared" si="4"/>
        <v>0</v>
      </c>
      <c r="AD31">
        <f t="shared" si="4"/>
        <v>0</v>
      </c>
      <c r="AE31">
        <f t="shared" si="5"/>
        <v>0</v>
      </c>
      <c r="AF31">
        <f t="shared" si="5"/>
        <v>0</v>
      </c>
      <c r="AG31">
        <f t="shared" si="5"/>
        <v>55</v>
      </c>
      <c r="AH31">
        <f t="shared" si="5"/>
        <v>55</v>
      </c>
      <c r="AI31">
        <f t="shared" si="6"/>
        <v>55</v>
      </c>
      <c r="AJ31">
        <f t="shared" si="6"/>
        <v>55</v>
      </c>
    </row>
    <row r="32" spans="1:36" x14ac:dyDescent="0.25">
      <c r="A32" t="s">
        <v>36</v>
      </c>
      <c r="B32" t="s">
        <v>71</v>
      </c>
      <c r="C32" t="s">
        <v>71</v>
      </c>
      <c r="D32" t="s">
        <v>65</v>
      </c>
      <c r="E32" t="s">
        <v>73</v>
      </c>
      <c r="F32">
        <v>0</v>
      </c>
      <c r="G32">
        <f>J32*Assumption!$B$3</f>
        <v>0</v>
      </c>
      <c r="H32">
        <f>J32*Assumption!$B$4</f>
        <v>0</v>
      </c>
      <c r="I32">
        <v>10</v>
      </c>
      <c r="J32">
        <f t="shared" si="1"/>
        <v>0</v>
      </c>
      <c r="K32">
        <v>10</v>
      </c>
      <c r="X32">
        <f t="shared" si="2"/>
        <v>0</v>
      </c>
      <c r="Y32">
        <f t="shared" si="3"/>
        <v>0</v>
      </c>
      <c r="Z32">
        <v>0</v>
      </c>
      <c r="AA32">
        <f t="shared" si="4"/>
        <v>0</v>
      </c>
      <c r="AB32">
        <f t="shared" si="4"/>
        <v>0</v>
      </c>
      <c r="AC32">
        <f t="shared" si="4"/>
        <v>0</v>
      </c>
      <c r="AD32">
        <f t="shared" si="4"/>
        <v>0</v>
      </c>
      <c r="AE32">
        <f t="shared" si="5"/>
        <v>0</v>
      </c>
      <c r="AF32">
        <f t="shared" si="5"/>
        <v>0</v>
      </c>
      <c r="AG32">
        <f t="shared" si="5"/>
        <v>0</v>
      </c>
      <c r="AH32">
        <f t="shared" si="5"/>
        <v>0</v>
      </c>
      <c r="AI32">
        <f t="shared" si="6"/>
        <v>0</v>
      </c>
      <c r="AJ32">
        <f t="shared" si="6"/>
        <v>0</v>
      </c>
    </row>
    <row r="33" spans="1:36" x14ac:dyDescent="0.25">
      <c r="A33" t="s">
        <v>36</v>
      </c>
      <c r="B33" t="s">
        <v>71</v>
      </c>
      <c r="C33" t="s">
        <v>71</v>
      </c>
      <c r="D33" t="s">
        <v>65</v>
      </c>
      <c r="E33" t="s">
        <v>74</v>
      </c>
      <c r="F33">
        <v>0</v>
      </c>
      <c r="G33">
        <f>J33*Assumption!$B$3</f>
        <v>0</v>
      </c>
      <c r="H33">
        <f>J33*Assumption!$B$4</f>
        <v>0</v>
      </c>
      <c r="I33">
        <v>10</v>
      </c>
      <c r="J33">
        <f t="shared" si="1"/>
        <v>0</v>
      </c>
      <c r="K33">
        <v>10</v>
      </c>
      <c r="X33">
        <f t="shared" si="2"/>
        <v>0</v>
      </c>
      <c r="Y33">
        <f t="shared" si="3"/>
        <v>0</v>
      </c>
      <c r="Z33">
        <v>0</v>
      </c>
      <c r="AA33">
        <f t="shared" si="4"/>
        <v>0</v>
      </c>
      <c r="AB33">
        <f t="shared" si="4"/>
        <v>0</v>
      </c>
      <c r="AC33">
        <f t="shared" si="4"/>
        <v>0</v>
      </c>
      <c r="AD33">
        <f t="shared" si="4"/>
        <v>0</v>
      </c>
      <c r="AE33">
        <f t="shared" si="5"/>
        <v>0</v>
      </c>
      <c r="AF33">
        <f t="shared" si="5"/>
        <v>0</v>
      </c>
      <c r="AG33">
        <f t="shared" si="5"/>
        <v>0</v>
      </c>
      <c r="AH33">
        <f t="shared" si="5"/>
        <v>0</v>
      </c>
      <c r="AI33">
        <f t="shared" si="6"/>
        <v>0</v>
      </c>
      <c r="AJ33">
        <f t="shared" si="6"/>
        <v>0</v>
      </c>
    </row>
    <row r="34" spans="1:36" x14ac:dyDescent="0.25">
      <c r="A34" t="s">
        <v>36</v>
      </c>
      <c r="B34" t="s">
        <v>75</v>
      </c>
      <c r="C34" t="s">
        <v>75</v>
      </c>
      <c r="D34" t="s">
        <v>65</v>
      </c>
      <c r="E34" t="s">
        <v>76</v>
      </c>
      <c r="F34">
        <v>195000</v>
      </c>
      <c r="G34">
        <f>J34*Assumption!$B$3</f>
        <v>200000</v>
      </c>
      <c r="H34">
        <f>J34*Assumption!$B$4</f>
        <v>200000</v>
      </c>
      <c r="I34">
        <v>10</v>
      </c>
      <c r="J34">
        <f t="shared" si="1"/>
        <v>200</v>
      </c>
      <c r="K34">
        <v>10</v>
      </c>
      <c r="S34">
        <v>50</v>
      </c>
      <c r="T34">
        <v>50</v>
      </c>
      <c r="U34">
        <v>50</v>
      </c>
      <c r="V34">
        <v>50</v>
      </c>
      <c r="X34">
        <f t="shared" si="2"/>
        <v>220</v>
      </c>
      <c r="Y34">
        <f t="shared" si="3"/>
        <v>0</v>
      </c>
      <c r="Z34">
        <v>0</v>
      </c>
      <c r="AA34">
        <f t="shared" si="4"/>
        <v>0</v>
      </c>
      <c r="AB34">
        <f t="shared" si="4"/>
        <v>0</v>
      </c>
      <c r="AC34">
        <f t="shared" si="4"/>
        <v>0</v>
      </c>
      <c r="AD34">
        <f t="shared" si="4"/>
        <v>0</v>
      </c>
      <c r="AE34">
        <f t="shared" si="5"/>
        <v>0</v>
      </c>
      <c r="AF34">
        <f t="shared" si="5"/>
        <v>55</v>
      </c>
      <c r="AG34">
        <f t="shared" si="5"/>
        <v>55</v>
      </c>
      <c r="AH34">
        <f t="shared" si="5"/>
        <v>55</v>
      </c>
      <c r="AI34">
        <f t="shared" si="6"/>
        <v>55</v>
      </c>
      <c r="AJ34">
        <f t="shared" si="6"/>
        <v>0</v>
      </c>
    </row>
    <row r="35" spans="1:36" x14ac:dyDescent="0.25">
      <c r="A35" t="s">
        <v>36</v>
      </c>
      <c r="B35" t="s">
        <v>75</v>
      </c>
      <c r="C35" t="s">
        <v>75</v>
      </c>
      <c r="D35" t="s">
        <v>65</v>
      </c>
      <c r="E35" t="s">
        <v>77</v>
      </c>
      <c r="F35">
        <v>60000</v>
      </c>
      <c r="G35">
        <f>J35*Assumption!$B$3</f>
        <v>50000</v>
      </c>
      <c r="H35">
        <f>J35*Assumption!$B$4</f>
        <v>50000</v>
      </c>
      <c r="I35">
        <v>10</v>
      </c>
      <c r="J35">
        <f t="shared" si="1"/>
        <v>50</v>
      </c>
      <c r="K35">
        <v>10</v>
      </c>
      <c r="W35">
        <v>50</v>
      </c>
      <c r="X35">
        <f t="shared" si="2"/>
        <v>55</v>
      </c>
      <c r="Y35">
        <f t="shared" si="3"/>
        <v>0</v>
      </c>
      <c r="Z35">
        <v>0</v>
      </c>
      <c r="AA35">
        <f t="shared" si="4"/>
        <v>0</v>
      </c>
      <c r="AB35">
        <f t="shared" si="4"/>
        <v>0</v>
      </c>
      <c r="AC35">
        <f t="shared" si="4"/>
        <v>0</v>
      </c>
      <c r="AD35">
        <f t="shared" si="4"/>
        <v>0</v>
      </c>
      <c r="AE35">
        <f t="shared" si="5"/>
        <v>0</v>
      </c>
      <c r="AF35">
        <f t="shared" si="5"/>
        <v>0</v>
      </c>
      <c r="AG35">
        <f t="shared" si="5"/>
        <v>0</v>
      </c>
      <c r="AH35">
        <f t="shared" si="5"/>
        <v>0</v>
      </c>
      <c r="AI35">
        <f t="shared" si="6"/>
        <v>0</v>
      </c>
      <c r="AJ35">
        <f t="shared" si="6"/>
        <v>55</v>
      </c>
    </row>
    <row r="36" spans="1:36" x14ac:dyDescent="0.25">
      <c r="A36" t="s">
        <v>36</v>
      </c>
      <c r="B36" t="s">
        <v>75</v>
      </c>
      <c r="C36" t="s">
        <v>75</v>
      </c>
      <c r="D36" t="s">
        <v>65</v>
      </c>
      <c r="E36" t="s">
        <v>78</v>
      </c>
      <c r="F36">
        <v>0</v>
      </c>
      <c r="G36">
        <f>J36*Assumption!$B$3</f>
        <v>0</v>
      </c>
      <c r="H36">
        <f>J36*Assumption!$B$4</f>
        <v>0</v>
      </c>
      <c r="I36">
        <v>10</v>
      </c>
      <c r="J36">
        <f t="shared" si="1"/>
        <v>0</v>
      </c>
      <c r="K36">
        <v>10</v>
      </c>
      <c r="X36">
        <f t="shared" si="2"/>
        <v>0</v>
      </c>
      <c r="Y36">
        <f t="shared" si="3"/>
        <v>0</v>
      </c>
      <c r="Z36">
        <v>0</v>
      </c>
      <c r="AA36">
        <f t="shared" si="4"/>
        <v>0</v>
      </c>
      <c r="AB36">
        <f t="shared" si="4"/>
        <v>0</v>
      </c>
      <c r="AC36">
        <f t="shared" si="4"/>
        <v>0</v>
      </c>
      <c r="AD36">
        <f t="shared" si="4"/>
        <v>0</v>
      </c>
      <c r="AE36">
        <f t="shared" si="5"/>
        <v>0</v>
      </c>
      <c r="AF36">
        <f t="shared" si="5"/>
        <v>0</v>
      </c>
      <c r="AG36">
        <f t="shared" si="5"/>
        <v>0</v>
      </c>
      <c r="AH36">
        <f t="shared" si="5"/>
        <v>0</v>
      </c>
      <c r="AI36">
        <f t="shared" si="6"/>
        <v>0</v>
      </c>
      <c r="AJ36">
        <f t="shared" si="6"/>
        <v>0</v>
      </c>
    </row>
    <row r="37" spans="1:36" x14ac:dyDescent="0.25">
      <c r="A37" t="s">
        <v>36</v>
      </c>
      <c r="B37" t="s">
        <v>79</v>
      </c>
      <c r="C37" t="s">
        <v>79</v>
      </c>
      <c r="D37" t="s">
        <v>38</v>
      </c>
      <c r="E37" t="s">
        <v>80</v>
      </c>
      <c r="F37">
        <v>132000</v>
      </c>
      <c r="G37">
        <f>J37*Assumption!$B$3</f>
        <v>250000</v>
      </c>
      <c r="H37">
        <f>J37*Assumption!$B$4</f>
        <v>250000</v>
      </c>
      <c r="I37">
        <v>10</v>
      </c>
      <c r="J37">
        <f t="shared" si="1"/>
        <v>250</v>
      </c>
      <c r="K37">
        <v>10</v>
      </c>
      <c r="L37">
        <v>50</v>
      </c>
      <c r="N37">
        <v>50</v>
      </c>
      <c r="R37">
        <v>50</v>
      </c>
      <c r="S37">
        <v>50</v>
      </c>
      <c r="T37">
        <v>50</v>
      </c>
      <c r="X37">
        <f t="shared" si="2"/>
        <v>275</v>
      </c>
      <c r="Y37">
        <f t="shared" si="3"/>
        <v>55</v>
      </c>
      <c r="Z37">
        <v>0</v>
      </c>
      <c r="AA37">
        <f t="shared" si="4"/>
        <v>55</v>
      </c>
      <c r="AB37">
        <f t="shared" si="4"/>
        <v>0</v>
      </c>
      <c r="AC37">
        <f t="shared" si="4"/>
        <v>0</v>
      </c>
      <c r="AD37">
        <f t="shared" si="4"/>
        <v>0</v>
      </c>
      <c r="AE37">
        <f t="shared" si="5"/>
        <v>55</v>
      </c>
      <c r="AF37">
        <f t="shared" si="5"/>
        <v>55</v>
      </c>
      <c r="AG37">
        <f t="shared" si="5"/>
        <v>55</v>
      </c>
      <c r="AH37">
        <f t="shared" si="5"/>
        <v>0</v>
      </c>
      <c r="AI37">
        <f t="shared" si="6"/>
        <v>0</v>
      </c>
      <c r="AJ37">
        <f t="shared" si="6"/>
        <v>0</v>
      </c>
    </row>
    <row r="38" spans="1:36" x14ac:dyDescent="0.25">
      <c r="A38" t="s">
        <v>36</v>
      </c>
      <c r="B38" t="s">
        <v>81</v>
      </c>
      <c r="C38" t="s">
        <v>81</v>
      </c>
      <c r="D38" t="s">
        <v>38</v>
      </c>
      <c r="E38" t="s">
        <v>81</v>
      </c>
      <c r="F38">
        <v>18000</v>
      </c>
      <c r="G38">
        <f>J38*Assumption!$B$3</f>
        <v>100000</v>
      </c>
      <c r="H38">
        <f>J38*Assumption!$B$4</f>
        <v>100000</v>
      </c>
      <c r="I38">
        <v>10</v>
      </c>
      <c r="J38">
        <f t="shared" si="1"/>
        <v>100</v>
      </c>
      <c r="K38">
        <v>10</v>
      </c>
      <c r="L38">
        <v>50</v>
      </c>
      <c r="N38">
        <v>50</v>
      </c>
      <c r="X38">
        <f t="shared" si="2"/>
        <v>110</v>
      </c>
      <c r="Y38">
        <f t="shared" si="3"/>
        <v>55</v>
      </c>
      <c r="Z38">
        <v>0</v>
      </c>
      <c r="AA38">
        <f t="shared" si="4"/>
        <v>55</v>
      </c>
      <c r="AB38">
        <f t="shared" si="4"/>
        <v>0</v>
      </c>
      <c r="AC38">
        <f t="shared" si="4"/>
        <v>0</v>
      </c>
      <c r="AD38">
        <f t="shared" si="4"/>
        <v>0</v>
      </c>
      <c r="AE38">
        <f t="shared" si="5"/>
        <v>0</v>
      </c>
      <c r="AF38">
        <f t="shared" si="5"/>
        <v>0</v>
      </c>
      <c r="AG38">
        <f t="shared" si="5"/>
        <v>0</v>
      </c>
      <c r="AH38">
        <f t="shared" si="5"/>
        <v>0</v>
      </c>
      <c r="AI38">
        <f t="shared" si="6"/>
        <v>0</v>
      </c>
      <c r="AJ38">
        <f t="shared" si="6"/>
        <v>0</v>
      </c>
    </row>
    <row r="39" spans="1:36" x14ac:dyDescent="0.25">
      <c r="A39" t="s">
        <v>36</v>
      </c>
      <c r="B39" t="s">
        <v>82</v>
      </c>
      <c r="C39" t="s">
        <v>82</v>
      </c>
      <c r="D39" t="s">
        <v>83</v>
      </c>
      <c r="E39" t="s">
        <v>82</v>
      </c>
      <c r="F39">
        <v>33000</v>
      </c>
      <c r="G39">
        <f>J39*Assumption!$B$3</f>
        <v>100000</v>
      </c>
      <c r="H39">
        <f>J39*Assumption!$B$4</f>
        <v>100000</v>
      </c>
      <c r="I39">
        <v>10</v>
      </c>
      <c r="J39">
        <f t="shared" si="1"/>
        <v>100</v>
      </c>
      <c r="K39">
        <v>10</v>
      </c>
      <c r="M39">
        <v>50</v>
      </c>
      <c r="O39">
        <v>50</v>
      </c>
      <c r="X39">
        <f t="shared" si="2"/>
        <v>68</v>
      </c>
      <c r="Y39">
        <f t="shared" si="3"/>
        <v>0</v>
      </c>
      <c r="Z39">
        <v>13</v>
      </c>
      <c r="AA39">
        <f t="shared" si="4"/>
        <v>0</v>
      </c>
      <c r="AB39">
        <f t="shared" si="4"/>
        <v>55</v>
      </c>
      <c r="AC39">
        <f t="shared" si="4"/>
        <v>0</v>
      </c>
      <c r="AD39">
        <f t="shared" si="4"/>
        <v>0</v>
      </c>
      <c r="AE39">
        <f t="shared" si="5"/>
        <v>0</v>
      </c>
      <c r="AF39">
        <f t="shared" si="5"/>
        <v>0</v>
      </c>
      <c r="AG39">
        <f t="shared" si="5"/>
        <v>0</v>
      </c>
      <c r="AH39">
        <f t="shared" si="5"/>
        <v>0</v>
      </c>
      <c r="AI39">
        <f t="shared" si="6"/>
        <v>0</v>
      </c>
      <c r="AJ39">
        <f t="shared" si="6"/>
        <v>0</v>
      </c>
    </row>
    <row r="40" spans="1:36" x14ac:dyDescent="0.25">
      <c r="A40" t="s">
        <v>36</v>
      </c>
      <c r="B40" t="s">
        <v>84</v>
      </c>
      <c r="C40" t="s">
        <v>84</v>
      </c>
      <c r="D40" t="s">
        <v>65</v>
      </c>
      <c r="E40" t="s">
        <v>84</v>
      </c>
      <c r="F40">
        <v>90000</v>
      </c>
      <c r="G40">
        <f>J40*Assumption!$B$3</f>
        <v>50000</v>
      </c>
      <c r="H40">
        <f>J40*Assumption!$B$4</f>
        <v>50000</v>
      </c>
      <c r="I40">
        <v>10</v>
      </c>
      <c r="J40">
        <f t="shared" si="1"/>
        <v>50</v>
      </c>
      <c r="K40">
        <v>10</v>
      </c>
      <c r="R40">
        <v>50</v>
      </c>
      <c r="X40">
        <f t="shared" si="2"/>
        <v>55</v>
      </c>
      <c r="Y40">
        <f t="shared" si="3"/>
        <v>0</v>
      </c>
      <c r="Z40">
        <v>0</v>
      </c>
      <c r="AA40">
        <f t="shared" si="4"/>
        <v>0</v>
      </c>
      <c r="AB40">
        <f t="shared" si="4"/>
        <v>0</v>
      </c>
      <c r="AC40">
        <f t="shared" si="4"/>
        <v>0</v>
      </c>
      <c r="AD40">
        <f t="shared" si="4"/>
        <v>0</v>
      </c>
      <c r="AE40">
        <f t="shared" si="5"/>
        <v>55</v>
      </c>
      <c r="AF40">
        <f t="shared" si="5"/>
        <v>0</v>
      </c>
      <c r="AG40">
        <f t="shared" si="5"/>
        <v>0</v>
      </c>
      <c r="AH40">
        <f t="shared" si="5"/>
        <v>0</v>
      </c>
      <c r="AI40">
        <f t="shared" si="6"/>
        <v>0</v>
      </c>
      <c r="AJ40">
        <f t="shared" si="6"/>
        <v>0</v>
      </c>
    </row>
    <row r="41" spans="1:36" x14ac:dyDescent="0.25">
      <c r="A41" t="s">
        <v>36</v>
      </c>
      <c r="B41" t="s">
        <v>85</v>
      </c>
      <c r="C41" t="s">
        <v>85</v>
      </c>
      <c r="D41" t="s">
        <v>65</v>
      </c>
      <c r="E41" t="s">
        <v>85</v>
      </c>
      <c r="F41">
        <v>0</v>
      </c>
      <c r="G41">
        <f>J41*Assumption!$B$3</f>
        <v>0</v>
      </c>
      <c r="H41">
        <f>J41*Assumption!$B$4</f>
        <v>0</v>
      </c>
      <c r="I41">
        <v>10</v>
      </c>
      <c r="J41">
        <f t="shared" si="1"/>
        <v>0</v>
      </c>
      <c r="K41">
        <v>10</v>
      </c>
      <c r="X41">
        <f t="shared" si="2"/>
        <v>0</v>
      </c>
      <c r="Y41">
        <f t="shared" si="3"/>
        <v>0</v>
      </c>
      <c r="Z41">
        <v>0</v>
      </c>
      <c r="AA41">
        <f t="shared" si="4"/>
        <v>0</v>
      </c>
      <c r="AB41">
        <f t="shared" si="4"/>
        <v>0</v>
      </c>
      <c r="AC41">
        <f t="shared" si="4"/>
        <v>0</v>
      </c>
      <c r="AD41">
        <f t="shared" si="4"/>
        <v>0</v>
      </c>
      <c r="AE41">
        <f t="shared" si="5"/>
        <v>0</v>
      </c>
      <c r="AF41">
        <f t="shared" si="5"/>
        <v>0</v>
      </c>
      <c r="AG41">
        <f t="shared" si="5"/>
        <v>0</v>
      </c>
      <c r="AH41">
        <f t="shared" si="5"/>
        <v>0</v>
      </c>
      <c r="AI41">
        <f t="shared" si="6"/>
        <v>0</v>
      </c>
      <c r="AJ41">
        <f t="shared" si="6"/>
        <v>0</v>
      </c>
    </row>
    <row r="42" spans="1:36" x14ac:dyDescent="0.25">
      <c r="A42" t="s">
        <v>86</v>
      </c>
      <c r="B42" t="s">
        <v>87</v>
      </c>
      <c r="C42" t="s">
        <v>87</v>
      </c>
      <c r="D42" t="s">
        <v>88</v>
      </c>
      <c r="E42" t="s">
        <v>89</v>
      </c>
      <c r="F42">
        <v>0</v>
      </c>
      <c r="G42">
        <f>J42*Assumption!$B$3</f>
        <v>0</v>
      </c>
      <c r="H42">
        <f>J42*Assumption!$B$4</f>
        <v>0</v>
      </c>
      <c r="I42">
        <v>10</v>
      </c>
      <c r="J42">
        <f t="shared" si="1"/>
        <v>0</v>
      </c>
      <c r="K42">
        <v>10</v>
      </c>
      <c r="X42">
        <f t="shared" si="2"/>
        <v>0</v>
      </c>
      <c r="Y42">
        <f t="shared" si="3"/>
        <v>0</v>
      </c>
      <c r="Z42">
        <v>0</v>
      </c>
      <c r="AA42">
        <f t="shared" si="4"/>
        <v>0</v>
      </c>
      <c r="AB42">
        <f t="shared" si="4"/>
        <v>0</v>
      </c>
      <c r="AC42">
        <f t="shared" si="4"/>
        <v>0</v>
      </c>
      <c r="AD42">
        <f t="shared" si="4"/>
        <v>0</v>
      </c>
      <c r="AE42">
        <f t="shared" si="5"/>
        <v>0</v>
      </c>
      <c r="AF42">
        <f t="shared" si="5"/>
        <v>0</v>
      </c>
      <c r="AG42">
        <f t="shared" si="5"/>
        <v>0</v>
      </c>
      <c r="AH42">
        <f t="shared" si="5"/>
        <v>0</v>
      </c>
      <c r="AI42">
        <f t="shared" si="6"/>
        <v>0</v>
      </c>
      <c r="AJ42">
        <f t="shared" si="6"/>
        <v>0</v>
      </c>
    </row>
    <row r="43" spans="1:36" x14ac:dyDescent="0.25">
      <c r="A43" t="s">
        <v>86</v>
      </c>
      <c r="B43" t="s">
        <v>90</v>
      </c>
      <c r="C43" t="s">
        <v>90</v>
      </c>
      <c r="D43" t="s">
        <v>88</v>
      </c>
      <c r="E43" t="s">
        <v>91</v>
      </c>
      <c r="F43">
        <v>150000</v>
      </c>
      <c r="G43">
        <f>J43*Assumption!$B$3</f>
        <v>200000</v>
      </c>
      <c r="H43">
        <f>J43*Assumption!$B$4</f>
        <v>200000</v>
      </c>
      <c r="I43">
        <v>10</v>
      </c>
      <c r="J43">
        <f t="shared" si="1"/>
        <v>200</v>
      </c>
      <c r="K43">
        <v>10</v>
      </c>
      <c r="P43">
        <v>50</v>
      </c>
      <c r="Q43">
        <v>50</v>
      </c>
      <c r="R43">
        <v>50</v>
      </c>
      <c r="S43">
        <v>50</v>
      </c>
      <c r="X43">
        <f t="shared" si="2"/>
        <v>220</v>
      </c>
      <c r="Y43">
        <f t="shared" si="3"/>
        <v>0</v>
      </c>
      <c r="Z43">
        <v>0</v>
      </c>
      <c r="AA43">
        <f t="shared" si="4"/>
        <v>0</v>
      </c>
      <c r="AB43">
        <f t="shared" si="4"/>
        <v>0</v>
      </c>
      <c r="AC43">
        <f t="shared" si="4"/>
        <v>55</v>
      </c>
      <c r="AD43">
        <f t="shared" si="4"/>
        <v>55</v>
      </c>
      <c r="AE43">
        <f t="shared" si="5"/>
        <v>55</v>
      </c>
      <c r="AF43">
        <f t="shared" si="5"/>
        <v>55</v>
      </c>
      <c r="AG43">
        <f t="shared" si="5"/>
        <v>0</v>
      </c>
      <c r="AH43">
        <f t="shared" si="5"/>
        <v>0</v>
      </c>
      <c r="AI43">
        <f t="shared" si="6"/>
        <v>0</v>
      </c>
      <c r="AJ43">
        <f t="shared" si="6"/>
        <v>0</v>
      </c>
    </row>
    <row r="44" spans="1:36" x14ac:dyDescent="0.25">
      <c r="A44" t="s">
        <v>86</v>
      </c>
      <c r="B44" t="s">
        <v>90</v>
      </c>
      <c r="C44" t="s">
        <v>90</v>
      </c>
      <c r="D44" t="s">
        <v>88</v>
      </c>
      <c r="E44" t="s">
        <v>92</v>
      </c>
      <c r="F44">
        <v>157500</v>
      </c>
      <c r="G44">
        <f>J44*Assumption!$B$3</f>
        <v>200000</v>
      </c>
      <c r="H44">
        <f>J44*Assumption!$B$4</f>
        <v>200000</v>
      </c>
      <c r="I44">
        <v>10</v>
      </c>
      <c r="J44">
        <f t="shared" si="1"/>
        <v>200</v>
      </c>
      <c r="K44">
        <v>10</v>
      </c>
      <c r="S44">
        <v>50</v>
      </c>
      <c r="T44">
        <v>50</v>
      </c>
      <c r="U44">
        <v>50</v>
      </c>
      <c r="V44">
        <v>50</v>
      </c>
      <c r="X44">
        <f t="shared" si="2"/>
        <v>220</v>
      </c>
      <c r="Y44">
        <f t="shared" si="3"/>
        <v>0</v>
      </c>
      <c r="Z44">
        <v>0</v>
      </c>
      <c r="AA44">
        <f t="shared" si="4"/>
        <v>0</v>
      </c>
      <c r="AB44">
        <f t="shared" si="4"/>
        <v>0</v>
      </c>
      <c r="AC44">
        <f t="shared" si="4"/>
        <v>0</v>
      </c>
      <c r="AD44">
        <f t="shared" si="4"/>
        <v>0</v>
      </c>
      <c r="AE44">
        <f t="shared" si="5"/>
        <v>0</v>
      </c>
      <c r="AF44">
        <f t="shared" si="5"/>
        <v>55</v>
      </c>
      <c r="AG44">
        <f t="shared" si="5"/>
        <v>55</v>
      </c>
      <c r="AH44">
        <f t="shared" si="5"/>
        <v>55</v>
      </c>
      <c r="AI44">
        <f t="shared" si="6"/>
        <v>55</v>
      </c>
      <c r="AJ44">
        <f t="shared" si="6"/>
        <v>0</v>
      </c>
    </row>
    <row r="45" spans="1:36" x14ac:dyDescent="0.25">
      <c r="A45" t="s">
        <v>86</v>
      </c>
      <c r="B45" t="s">
        <v>90</v>
      </c>
      <c r="C45" t="s">
        <v>90</v>
      </c>
      <c r="D45" t="s">
        <v>88</v>
      </c>
      <c r="E45" t="s">
        <v>93</v>
      </c>
      <c r="F45">
        <v>30000</v>
      </c>
      <c r="G45">
        <f>J45*Assumption!$B$3</f>
        <v>50000</v>
      </c>
      <c r="H45">
        <f>J45*Assumption!$B$4</f>
        <v>50000</v>
      </c>
      <c r="I45">
        <v>10</v>
      </c>
      <c r="J45">
        <f t="shared" si="1"/>
        <v>50</v>
      </c>
      <c r="K45">
        <v>10</v>
      </c>
      <c r="W45">
        <v>50</v>
      </c>
      <c r="X45">
        <f t="shared" si="2"/>
        <v>55</v>
      </c>
      <c r="Y45">
        <f t="shared" si="3"/>
        <v>0</v>
      </c>
      <c r="Z45">
        <v>0</v>
      </c>
      <c r="AA45">
        <f t="shared" si="4"/>
        <v>0</v>
      </c>
      <c r="AB45">
        <f t="shared" si="4"/>
        <v>0</v>
      </c>
      <c r="AC45">
        <f t="shared" si="4"/>
        <v>0</v>
      </c>
      <c r="AD45">
        <f t="shared" si="4"/>
        <v>0</v>
      </c>
      <c r="AE45">
        <f t="shared" si="5"/>
        <v>0</v>
      </c>
      <c r="AF45">
        <f t="shared" si="5"/>
        <v>0</v>
      </c>
      <c r="AG45">
        <f t="shared" si="5"/>
        <v>0</v>
      </c>
      <c r="AH45">
        <f t="shared" si="5"/>
        <v>0</v>
      </c>
      <c r="AI45">
        <f t="shared" si="6"/>
        <v>0</v>
      </c>
      <c r="AJ45">
        <f t="shared" si="6"/>
        <v>55</v>
      </c>
    </row>
    <row r="46" spans="1:36" x14ac:dyDescent="0.25">
      <c r="A46" t="s">
        <v>86</v>
      </c>
      <c r="B46" t="s">
        <v>94</v>
      </c>
      <c r="C46" t="s">
        <v>94</v>
      </c>
      <c r="D46" t="s">
        <v>88</v>
      </c>
      <c r="E46" t="s">
        <v>95</v>
      </c>
      <c r="F46">
        <v>180000</v>
      </c>
      <c r="G46">
        <f>J46*Assumption!$B$3</f>
        <v>200000</v>
      </c>
      <c r="H46">
        <f>J46*Assumption!$B$4</f>
        <v>200000</v>
      </c>
      <c r="I46">
        <v>10</v>
      </c>
      <c r="J46">
        <f t="shared" si="1"/>
        <v>200</v>
      </c>
      <c r="K46">
        <v>10</v>
      </c>
      <c r="Q46">
        <v>50</v>
      </c>
      <c r="R46">
        <v>50</v>
      </c>
      <c r="S46">
        <v>50</v>
      </c>
      <c r="T46">
        <v>50</v>
      </c>
      <c r="X46">
        <f t="shared" si="2"/>
        <v>220</v>
      </c>
      <c r="Y46">
        <f t="shared" si="3"/>
        <v>0</v>
      </c>
      <c r="Z46">
        <v>0</v>
      </c>
      <c r="AA46">
        <f t="shared" si="4"/>
        <v>0</v>
      </c>
      <c r="AB46">
        <f t="shared" si="4"/>
        <v>0</v>
      </c>
      <c r="AC46">
        <f t="shared" si="4"/>
        <v>0</v>
      </c>
      <c r="AD46">
        <f t="shared" si="4"/>
        <v>55</v>
      </c>
      <c r="AE46">
        <f t="shared" si="5"/>
        <v>55</v>
      </c>
      <c r="AF46">
        <f t="shared" si="5"/>
        <v>55</v>
      </c>
      <c r="AG46">
        <f t="shared" si="5"/>
        <v>55</v>
      </c>
      <c r="AH46">
        <f t="shared" si="5"/>
        <v>0</v>
      </c>
      <c r="AI46">
        <f t="shared" si="6"/>
        <v>0</v>
      </c>
      <c r="AJ46">
        <f t="shared" si="6"/>
        <v>0</v>
      </c>
    </row>
    <row r="47" spans="1:36" x14ac:dyDescent="0.25">
      <c r="A47" t="s">
        <v>86</v>
      </c>
      <c r="B47" t="s">
        <v>94</v>
      </c>
      <c r="C47" t="s">
        <v>94</v>
      </c>
      <c r="D47" t="s">
        <v>88</v>
      </c>
      <c r="E47" t="s">
        <v>96</v>
      </c>
      <c r="F47">
        <v>165000</v>
      </c>
      <c r="G47">
        <f>J47*Assumption!$B$3</f>
        <v>200000</v>
      </c>
      <c r="H47">
        <f>J47*Assumption!$B$4</f>
        <v>200000</v>
      </c>
      <c r="I47">
        <v>10</v>
      </c>
      <c r="J47">
        <f t="shared" si="1"/>
        <v>200</v>
      </c>
      <c r="K47">
        <v>10</v>
      </c>
      <c r="T47">
        <v>50</v>
      </c>
      <c r="U47">
        <v>50</v>
      </c>
      <c r="V47">
        <v>50</v>
      </c>
      <c r="W47">
        <v>50</v>
      </c>
      <c r="X47">
        <f t="shared" si="2"/>
        <v>220</v>
      </c>
      <c r="Y47">
        <f t="shared" si="3"/>
        <v>0</v>
      </c>
      <c r="Z47">
        <v>0</v>
      </c>
      <c r="AA47">
        <f t="shared" si="4"/>
        <v>0</v>
      </c>
      <c r="AB47">
        <f t="shared" si="4"/>
        <v>0</v>
      </c>
      <c r="AC47">
        <f t="shared" si="4"/>
        <v>0</v>
      </c>
      <c r="AD47">
        <f t="shared" si="4"/>
        <v>0</v>
      </c>
      <c r="AE47">
        <f t="shared" si="5"/>
        <v>0</v>
      </c>
      <c r="AF47">
        <f t="shared" si="5"/>
        <v>0</v>
      </c>
      <c r="AG47">
        <f t="shared" si="5"/>
        <v>55</v>
      </c>
      <c r="AH47">
        <f t="shared" si="5"/>
        <v>55</v>
      </c>
      <c r="AI47">
        <f t="shared" si="6"/>
        <v>55</v>
      </c>
      <c r="AJ47">
        <f t="shared" si="6"/>
        <v>55</v>
      </c>
    </row>
    <row r="48" spans="1:36" x14ac:dyDescent="0.25">
      <c r="A48" t="s">
        <v>86</v>
      </c>
      <c r="B48" t="s">
        <v>94</v>
      </c>
      <c r="C48" t="s">
        <v>94</v>
      </c>
      <c r="D48" t="s">
        <v>88</v>
      </c>
      <c r="E48" t="s">
        <v>97</v>
      </c>
      <c r="F48">
        <v>0</v>
      </c>
      <c r="G48">
        <f>J48*Assumption!$B$3</f>
        <v>0</v>
      </c>
      <c r="H48">
        <f>J48*Assumption!$B$4</f>
        <v>0</v>
      </c>
      <c r="I48">
        <v>10</v>
      </c>
      <c r="J48">
        <f t="shared" si="1"/>
        <v>0</v>
      </c>
      <c r="K48">
        <v>10</v>
      </c>
      <c r="X48">
        <f t="shared" si="2"/>
        <v>0</v>
      </c>
      <c r="Y48">
        <f t="shared" si="3"/>
        <v>0</v>
      </c>
      <c r="Z48">
        <v>0</v>
      </c>
      <c r="AA48">
        <f t="shared" si="4"/>
        <v>0</v>
      </c>
      <c r="AB48">
        <f t="shared" si="4"/>
        <v>0</v>
      </c>
      <c r="AC48">
        <f t="shared" si="4"/>
        <v>0</v>
      </c>
      <c r="AD48">
        <f t="shared" si="4"/>
        <v>0</v>
      </c>
      <c r="AE48">
        <f t="shared" si="5"/>
        <v>0</v>
      </c>
      <c r="AF48">
        <f t="shared" si="5"/>
        <v>0</v>
      </c>
      <c r="AG48">
        <f t="shared" si="5"/>
        <v>0</v>
      </c>
      <c r="AH48">
        <f t="shared" si="5"/>
        <v>0</v>
      </c>
      <c r="AI48">
        <f t="shared" si="6"/>
        <v>0</v>
      </c>
      <c r="AJ48">
        <f t="shared" si="6"/>
        <v>0</v>
      </c>
    </row>
    <row r="49" spans="1:36" x14ac:dyDescent="0.25">
      <c r="A49" t="s">
        <v>86</v>
      </c>
      <c r="B49" t="s">
        <v>98</v>
      </c>
      <c r="C49" t="s">
        <v>98</v>
      </c>
      <c r="D49" t="s">
        <v>88</v>
      </c>
      <c r="E49" t="s">
        <v>99</v>
      </c>
      <c r="F49">
        <v>165000</v>
      </c>
      <c r="G49">
        <f>J49*Assumption!$B$3</f>
        <v>200000</v>
      </c>
      <c r="H49">
        <f>J49*Assumption!$B$4</f>
        <v>200000</v>
      </c>
      <c r="I49">
        <v>10</v>
      </c>
      <c r="J49">
        <f t="shared" si="1"/>
        <v>200</v>
      </c>
      <c r="K49">
        <v>10</v>
      </c>
      <c r="P49">
        <v>50</v>
      </c>
      <c r="Q49">
        <v>50</v>
      </c>
      <c r="R49">
        <v>50</v>
      </c>
      <c r="S49">
        <v>50</v>
      </c>
      <c r="X49">
        <f t="shared" si="2"/>
        <v>220</v>
      </c>
      <c r="Y49">
        <f t="shared" si="3"/>
        <v>0</v>
      </c>
      <c r="Z49">
        <v>0</v>
      </c>
      <c r="AA49">
        <f t="shared" si="4"/>
        <v>0</v>
      </c>
      <c r="AB49">
        <f t="shared" si="4"/>
        <v>0</v>
      </c>
      <c r="AC49">
        <f t="shared" si="4"/>
        <v>55</v>
      </c>
      <c r="AD49">
        <f t="shared" si="4"/>
        <v>55</v>
      </c>
      <c r="AE49">
        <f t="shared" si="5"/>
        <v>55</v>
      </c>
      <c r="AF49">
        <f t="shared" si="5"/>
        <v>55</v>
      </c>
      <c r="AG49">
        <f t="shared" si="5"/>
        <v>0</v>
      </c>
      <c r="AH49">
        <f t="shared" si="5"/>
        <v>0</v>
      </c>
      <c r="AI49">
        <f t="shared" si="6"/>
        <v>0</v>
      </c>
      <c r="AJ49">
        <f t="shared" si="6"/>
        <v>0</v>
      </c>
    </row>
    <row r="50" spans="1:36" x14ac:dyDescent="0.25">
      <c r="A50" t="s">
        <v>86</v>
      </c>
      <c r="B50" t="s">
        <v>98</v>
      </c>
      <c r="C50" t="s">
        <v>98</v>
      </c>
      <c r="D50" t="s">
        <v>88</v>
      </c>
      <c r="E50" t="s">
        <v>100</v>
      </c>
      <c r="F50">
        <v>162000</v>
      </c>
      <c r="G50">
        <f>J50*Assumption!$B$3</f>
        <v>200000</v>
      </c>
      <c r="H50">
        <f>J50*Assumption!$B$4</f>
        <v>200000</v>
      </c>
      <c r="I50">
        <v>10</v>
      </c>
      <c r="J50">
        <f t="shared" si="1"/>
        <v>200</v>
      </c>
      <c r="K50">
        <v>10</v>
      </c>
      <c r="S50">
        <v>50</v>
      </c>
      <c r="T50">
        <v>50</v>
      </c>
      <c r="U50">
        <v>50</v>
      </c>
      <c r="V50">
        <v>50</v>
      </c>
      <c r="X50">
        <f t="shared" si="2"/>
        <v>220</v>
      </c>
      <c r="Y50">
        <f t="shared" si="3"/>
        <v>0</v>
      </c>
      <c r="Z50">
        <v>0</v>
      </c>
      <c r="AA50">
        <f t="shared" si="4"/>
        <v>0</v>
      </c>
      <c r="AB50">
        <f t="shared" si="4"/>
        <v>0</v>
      </c>
      <c r="AC50">
        <f t="shared" si="4"/>
        <v>0</v>
      </c>
      <c r="AD50">
        <f t="shared" si="4"/>
        <v>0</v>
      </c>
      <c r="AE50">
        <f t="shared" si="5"/>
        <v>0</v>
      </c>
      <c r="AF50">
        <f t="shared" si="5"/>
        <v>55</v>
      </c>
      <c r="AG50">
        <f t="shared" si="5"/>
        <v>55</v>
      </c>
      <c r="AH50">
        <f t="shared" si="5"/>
        <v>55</v>
      </c>
      <c r="AI50">
        <f t="shared" si="6"/>
        <v>55</v>
      </c>
      <c r="AJ50">
        <f t="shared" si="6"/>
        <v>0</v>
      </c>
    </row>
    <row r="51" spans="1:36" x14ac:dyDescent="0.25">
      <c r="A51" t="s">
        <v>86</v>
      </c>
      <c r="B51" t="s">
        <v>98</v>
      </c>
      <c r="C51" t="s">
        <v>98</v>
      </c>
      <c r="D51" t="s">
        <v>88</v>
      </c>
      <c r="E51" t="s">
        <v>101</v>
      </c>
      <c r="F51">
        <v>15000</v>
      </c>
      <c r="G51">
        <f>J51*Assumption!$B$3</f>
        <v>50000</v>
      </c>
      <c r="H51">
        <f>J51*Assumption!$B$4</f>
        <v>50000</v>
      </c>
      <c r="I51">
        <v>10</v>
      </c>
      <c r="J51">
        <f t="shared" si="1"/>
        <v>50</v>
      </c>
      <c r="K51">
        <v>10</v>
      </c>
      <c r="W51">
        <v>50</v>
      </c>
      <c r="X51">
        <f t="shared" si="2"/>
        <v>55</v>
      </c>
      <c r="Y51">
        <f t="shared" si="3"/>
        <v>0</v>
      </c>
      <c r="Z51">
        <v>0</v>
      </c>
      <c r="AA51">
        <f t="shared" si="4"/>
        <v>0</v>
      </c>
      <c r="AB51">
        <f t="shared" si="4"/>
        <v>0</v>
      </c>
      <c r="AC51">
        <f t="shared" si="4"/>
        <v>0</v>
      </c>
      <c r="AD51">
        <f t="shared" si="4"/>
        <v>0</v>
      </c>
      <c r="AE51">
        <f t="shared" si="5"/>
        <v>0</v>
      </c>
      <c r="AF51">
        <f t="shared" si="5"/>
        <v>0</v>
      </c>
      <c r="AG51">
        <f t="shared" si="5"/>
        <v>0</v>
      </c>
      <c r="AH51">
        <f t="shared" si="5"/>
        <v>0</v>
      </c>
      <c r="AI51">
        <f t="shared" si="6"/>
        <v>0</v>
      </c>
      <c r="AJ51">
        <f t="shared" si="6"/>
        <v>55</v>
      </c>
    </row>
    <row r="52" spans="1:36" x14ac:dyDescent="0.25">
      <c r="A52" t="s">
        <v>86</v>
      </c>
      <c r="B52" t="s">
        <v>98</v>
      </c>
      <c r="C52" t="s">
        <v>98</v>
      </c>
      <c r="D52" t="s">
        <v>88</v>
      </c>
      <c r="E52" t="s">
        <v>102</v>
      </c>
      <c r="F52">
        <v>0</v>
      </c>
      <c r="G52">
        <f>J52*Assumption!$B$3</f>
        <v>0</v>
      </c>
      <c r="H52">
        <f>J52*Assumption!$B$4</f>
        <v>0</v>
      </c>
      <c r="I52">
        <v>10</v>
      </c>
      <c r="J52">
        <f t="shared" si="1"/>
        <v>0</v>
      </c>
      <c r="K52">
        <v>10</v>
      </c>
      <c r="X52">
        <f t="shared" si="2"/>
        <v>0</v>
      </c>
      <c r="Y52">
        <f t="shared" si="3"/>
        <v>0</v>
      </c>
      <c r="Z52">
        <v>0</v>
      </c>
      <c r="AA52">
        <f t="shared" si="4"/>
        <v>0</v>
      </c>
      <c r="AB52">
        <f t="shared" si="4"/>
        <v>0</v>
      </c>
      <c r="AC52">
        <f t="shared" si="4"/>
        <v>0</v>
      </c>
      <c r="AD52">
        <f t="shared" si="4"/>
        <v>0</v>
      </c>
      <c r="AE52">
        <f t="shared" si="5"/>
        <v>0</v>
      </c>
      <c r="AF52">
        <f t="shared" si="5"/>
        <v>0</v>
      </c>
      <c r="AG52">
        <f t="shared" si="5"/>
        <v>0</v>
      </c>
      <c r="AH52">
        <f t="shared" si="5"/>
        <v>0</v>
      </c>
      <c r="AI52">
        <f t="shared" si="6"/>
        <v>0</v>
      </c>
      <c r="AJ52">
        <f t="shared" si="6"/>
        <v>0</v>
      </c>
    </row>
    <row r="53" spans="1:36" x14ac:dyDescent="0.25">
      <c r="A53" t="s">
        <v>86</v>
      </c>
      <c r="B53" t="s">
        <v>98</v>
      </c>
      <c r="C53" t="s">
        <v>98</v>
      </c>
      <c r="D53" t="s">
        <v>88</v>
      </c>
      <c r="E53" t="s">
        <v>103</v>
      </c>
      <c r="F53">
        <v>0</v>
      </c>
      <c r="G53">
        <f>J53*Assumption!$B$3</f>
        <v>0</v>
      </c>
      <c r="H53">
        <f>J53*Assumption!$B$4</f>
        <v>0</v>
      </c>
      <c r="I53">
        <v>10</v>
      </c>
      <c r="J53">
        <f t="shared" si="1"/>
        <v>0</v>
      </c>
      <c r="K53">
        <v>10</v>
      </c>
      <c r="X53">
        <f t="shared" si="2"/>
        <v>0</v>
      </c>
      <c r="Y53">
        <f t="shared" si="3"/>
        <v>0</v>
      </c>
      <c r="Z53">
        <v>0</v>
      </c>
      <c r="AA53">
        <f t="shared" si="4"/>
        <v>0</v>
      </c>
      <c r="AB53">
        <f t="shared" si="4"/>
        <v>0</v>
      </c>
      <c r="AC53">
        <f t="shared" si="4"/>
        <v>0</v>
      </c>
      <c r="AD53">
        <f t="shared" si="4"/>
        <v>0</v>
      </c>
      <c r="AE53">
        <f t="shared" si="5"/>
        <v>0</v>
      </c>
      <c r="AF53">
        <f t="shared" si="5"/>
        <v>0</v>
      </c>
      <c r="AG53">
        <f t="shared" si="5"/>
        <v>0</v>
      </c>
      <c r="AH53">
        <f t="shared" si="5"/>
        <v>0</v>
      </c>
      <c r="AI53">
        <f t="shared" si="6"/>
        <v>0</v>
      </c>
      <c r="AJ53">
        <f t="shared" si="6"/>
        <v>0</v>
      </c>
    </row>
    <row r="54" spans="1:36" x14ac:dyDescent="0.25">
      <c r="A54" t="s">
        <v>86</v>
      </c>
      <c r="B54" t="s">
        <v>104</v>
      </c>
      <c r="C54" t="s">
        <v>104</v>
      </c>
      <c r="D54" t="s">
        <v>88</v>
      </c>
      <c r="E54" t="s">
        <v>105</v>
      </c>
      <c r="F54">
        <v>135000</v>
      </c>
      <c r="G54">
        <f>J54*Assumption!$B$3</f>
        <v>150000</v>
      </c>
      <c r="H54">
        <f>J54*Assumption!$B$4</f>
        <v>150000</v>
      </c>
      <c r="I54">
        <v>10</v>
      </c>
      <c r="J54">
        <f t="shared" si="1"/>
        <v>150</v>
      </c>
      <c r="K54">
        <v>10</v>
      </c>
      <c r="T54">
        <v>50</v>
      </c>
      <c r="U54">
        <v>50</v>
      </c>
      <c r="V54">
        <v>50</v>
      </c>
      <c r="X54">
        <f t="shared" si="2"/>
        <v>165</v>
      </c>
      <c r="Y54">
        <f t="shared" si="3"/>
        <v>0</v>
      </c>
      <c r="Z54">
        <v>0</v>
      </c>
      <c r="AA54">
        <f t="shared" si="4"/>
        <v>0</v>
      </c>
      <c r="AB54">
        <f t="shared" si="4"/>
        <v>0</v>
      </c>
      <c r="AC54">
        <f t="shared" si="4"/>
        <v>0</v>
      </c>
      <c r="AD54">
        <f t="shared" si="4"/>
        <v>0</v>
      </c>
      <c r="AE54">
        <f t="shared" si="5"/>
        <v>0</v>
      </c>
      <c r="AF54">
        <f t="shared" si="5"/>
        <v>0</v>
      </c>
      <c r="AG54">
        <f t="shared" si="5"/>
        <v>55</v>
      </c>
      <c r="AH54">
        <f t="shared" si="5"/>
        <v>55</v>
      </c>
      <c r="AI54">
        <f t="shared" si="6"/>
        <v>55</v>
      </c>
      <c r="AJ54">
        <f t="shared" si="6"/>
        <v>0</v>
      </c>
    </row>
    <row r="55" spans="1:36" x14ac:dyDescent="0.25">
      <c r="A55" t="s">
        <v>86</v>
      </c>
      <c r="B55" t="s">
        <v>104</v>
      </c>
      <c r="C55" t="s">
        <v>104</v>
      </c>
      <c r="D55" t="s">
        <v>88</v>
      </c>
      <c r="E55" t="s">
        <v>106</v>
      </c>
      <c r="F55">
        <v>0</v>
      </c>
      <c r="G55">
        <f>J55*Assumption!$B$3</f>
        <v>0</v>
      </c>
      <c r="H55">
        <f>J55*Assumption!$B$4</f>
        <v>0</v>
      </c>
      <c r="I55">
        <v>10</v>
      </c>
      <c r="J55">
        <f t="shared" si="1"/>
        <v>0</v>
      </c>
      <c r="K55">
        <v>10</v>
      </c>
      <c r="X55">
        <f t="shared" si="2"/>
        <v>0</v>
      </c>
      <c r="Y55">
        <f t="shared" si="3"/>
        <v>0</v>
      </c>
      <c r="Z55">
        <v>0</v>
      </c>
      <c r="AA55">
        <f t="shared" si="4"/>
        <v>0</v>
      </c>
      <c r="AB55">
        <f t="shared" si="4"/>
        <v>0</v>
      </c>
      <c r="AC55">
        <f t="shared" si="4"/>
        <v>0</v>
      </c>
      <c r="AD55">
        <f t="shared" si="4"/>
        <v>0</v>
      </c>
      <c r="AE55">
        <f t="shared" si="5"/>
        <v>0</v>
      </c>
      <c r="AF55">
        <f t="shared" si="5"/>
        <v>0</v>
      </c>
      <c r="AG55">
        <f t="shared" si="5"/>
        <v>0</v>
      </c>
      <c r="AH55">
        <f t="shared" si="5"/>
        <v>0</v>
      </c>
      <c r="AI55">
        <f t="shared" si="6"/>
        <v>0</v>
      </c>
      <c r="AJ55">
        <f t="shared" si="6"/>
        <v>0</v>
      </c>
    </row>
    <row r="56" spans="1:36" x14ac:dyDescent="0.25">
      <c r="A56" t="s">
        <v>86</v>
      </c>
      <c r="B56" t="s">
        <v>104</v>
      </c>
      <c r="C56" t="s">
        <v>104</v>
      </c>
      <c r="D56" t="s">
        <v>88</v>
      </c>
      <c r="E56" t="s">
        <v>107</v>
      </c>
      <c r="F56">
        <v>0</v>
      </c>
      <c r="G56">
        <f>J56*Assumption!$B$3</f>
        <v>0</v>
      </c>
      <c r="H56">
        <f>J56*Assumption!$B$4</f>
        <v>0</v>
      </c>
      <c r="I56">
        <v>10</v>
      </c>
      <c r="J56">
        <f t="shared" si="1"/>
        <v>0</v>
      </c>
      <c r="K56">
        <v>10</v>
      </c>
      <c r="X56">
        <f t="shared" si="2"/>
        <v>0</v>
      </c>
      <c r="Y56">
        <f t="shared" si="3"/>
        <v>0</v>
      </c>
      <c r="Z56">
        <v>0</v>
      </c>
      <c r="AA56">
        <f t="shared" si="4"/>
        <v>0</v>
      </c>
      <c r="AB56">
        <f t="shared" si="4"/>
        <v>0</v>
      </c>
      <c r="AC56">
        <f t="shared" si="4"/>
        <v>0</v>
      </c>
      <c r="AD56">
        <f t="shared" si="4"/>
        <v>0</v>
      </c>
      <c r="AE56">
        <f t="shared" si="5"/>
        <v>0</v>
      </c>
      <c r="AF56">
        <f t="shared" si="5"/>
        <v>0</v>
      </c>
      <c r="AG56">
        <f t="shared" si="5"/>
        <v>0</v>
      </c>
      <c r="AH56">
        <f t="shared" si="5"/>
        <v>0</v>
      </c>
      <c r="AI56">
        <f t="shared" si="6"/>
        <v>0</v>
      </c>
      <c r="AJ56">
        <f t="shared" si="6"/>
        <v>0</v>
      </c>
    </row>
    <row r="57" spans="1:36" x14ac:dyDescent="0.25">
      <c r="A57" t="s">
        <v>86</v>
      </c>
      <c r="B57" t="s">
        <v>108</v>
      </c>
      <c r="C57" t="s">
        <v>108</v>
      </c>
      <c r="D57" t="s">
        <v>88</v>
      </c>
      <c r="E57" t="s">
        <v>108</v>
      </c>
      <c r="F57">
        <v>27000</v>
      </c>
      <c r="G57">
        <f>J57*Assumption!$B$3</f>
        <v>50000</v>
      </c>
      <c r="H57">
        <f>J57*Assumption!$B$4</f>
        <v>50000</v>
      </c>
      <c r="I57">
        <v>10</v>
      </c>
      <c r="J57">
        <f t="shared" si="1"/>
        <v>50</v>
      </c>
      <c r="K57">
        <v>10</v>
      </c>
      <c r="N57">
        <v>50</v>
      </c>
      <c r="X57">
        <f t="shared" si="2"/>
        <v>55</v>
      </c>
      <c r="Y57">
        <f t="shared" si="3"/>
        <v>0</v>
      </c>
      <c r="Z57">
        <v>0</v>
      </c>
      <c r="AA57">
        <f t="shared" si="4"/>
        <v>55</v>
      </c>
      <c r="AB57">
        <f t="shared" si="4"/>
        <v>0</v>
      </c>
      <c r="AC57">
        <f t="shared" si="4"/>
        <v>0</v>
      </c>
      <c r="AD57">
        <f t="shared" si="4"/>
        <v>0</v>
      </c>
      <c r="AE57">
        <f t="shared" si="5"/>
        <v>0</v>
      </c>
      <c r="AF57">
        <f t="shared" si="5"/>
        <v>0</v>
      </c>
      <c r="AG57">
        <f t="shared" si="5"/>
        <v>0</v>
      </c>
      <c r="AH57">
        <f t="shared" si="5"/>
        <v>0</v>
      </c>
      <c r="AI57">
        <f t="shared" si="6"/>
        <v>0</v>
      </c>
      <c r="AJ57">
        <f t="shared" si="6"/>
        <v>0</v>
      </c>
    </row>
    <row r="58" spans="1:36" x14ac:dyDescent="0.25">
      <c r="A58" t="s">
        <v>86</v>
      </c>
      <c r="B58" t="s">
        <v>109</v>
      </c>
      <c r="C58" t="s">
        <v>109</v>
      </c>
      <c r="D58" t="s">
        <v>88</v>
      </c>
      <c r="E58" t="s">
        <v>109</v>
      </c>
      <c r="F58">
        <v>36000</v>
      </c>
      <c r="G58">
        <f>J58*Assumption!$B$3</f>
        <v>100000</v>
      </c>
      <c r="H58">
        <f>J58*Assumption!$B$4</f>
        <v>100000</v>
      </c>
      <c r="I58">
        <v>10</v>
      </c>
      <c r="J58">
        <f t="shared" si="1"/>
        <v>100</v>
      </c>
      <c r="K58">
        <v>10</v>
      </c>
      <c r="M58">
        <v>50</v>
      </c>
      <c r="N58">
        <v>50</v>
      </c>
      <c r="X58">
        <f t="shared" si="2"/>
        <v>77</v>
      </c>
      <c r="Y58">
        <f t="shared" si="3"/>
        <v>0</v>
      </c>
      <c r="Z58">
        <v>22</v>
      </c>
      <c r="AA58">
        <f t="shared" si="4"/>
        <v>55</v>
      </c>
      <c r="AB58">
        <f t="shared" si="4"/>
        <v>0</v>
      </c>
      <c r="AC58">
        <f t="shared" si="4"/>
        <v>0</v>
      </c>
      <c r="AD58">
        <f t="shared" si="4"/>
        <v>0</v>
      </c>
      <c r="AE58">
        <f t="shared" si="5"/>
        <v>0</v>
      </c>
      <c r="AF58">
        <f t="shared" si="5"/>
        <v>0</v>
      </c>
      <c r="AG58">
        <f t="shared" si="5"/>
        <v>0</v>
      </c>
      <c r="AH58">
        <f t="shared" si="5"/>
        <v>0</v>
      </c>
      <c r="AI58">
        <f t="shared" si="6"/>
        <v>0</v>
      </c>
      <c r="AJ58">
        <f t="shared" si="6"/>
        <v>0</v>
      </c>
    </row>
    <row r="59" spans="1:36" x14ac:dyDescent="0.25">
      <c r="A59" t="s">
        <v>86</v>
      </c>
      <c r="B59" t="s">
        <v>110</v>
      </c>
      <c r="C59" t="s">
        <v>110</v>
      </c>
      <c r="D59" t="s">
        <v>88</v>
      </c>
      <c r="E59" t="s">
        <v>110</v>
      </c>
      <c r="F59">
        <v>3000</v>
      </c>
      <c r="G59">
        <f>J59*Assumption!$B$3</f>
        <v>50000</v>
      </c>
      <c r="H59">
        <f>J59*Assumption!$B$4</f>
        <v>50000</v>
      </c>
      <c r="I59">
        <v>10</v>
      </c>
      <c r="J59">
        <f t="shared" si="1"/>
        <v>50</v>
      </c>
      <c r="K59">
        <v>10</v>
      </c>
      <c r="M59">
        <v>50</v>
      </c>
      <c r="X59">
        <f t="shared" si="2"/>
        <v>2</v>
      </c>
      <c r="Y59">
        <f t="shared" si="3"/>
        <v>0</v>
      </c>
      <c r="Z59">
        <v>2</v>
      </c>
      <c r="AA59">
        <f t="shared" si="4"/>
        <v>0</v>
      </c>
      <c r="AB59">
        <f t="shared" si="4"/>
        <v>0</v>
      </c>
      <c r="AC59">
        <f t="shared" si="4"/>
        <v>0</v>
      </c>
      <c r="AD59">
        <f t="shared" si="4"/>
        <v>0</v>
      </c>
      <c r="AE59">
        <f t="shared" si="5"/>
        <v>0</v>
      </c>
      <c r="AF59">
        <f t="shared" si="5"/>
        <v>0</v>
      </c>
      <c r="AG59">
        <f t="shared" si="5"/>
        <v>0</v>
      </c>
      <c r="AH59">
        <f t="shared" si="5"/>
        <v>0</v>
      </c>
      <c r="AI59">
        <f t="shared" si="6"/>
        <v>0</v>
      </c>
      <c r="AJ59">
        <f t="shared" si="6"/>
        <v>0</v>
      </c>
    </row>
    <row r="60" spans="1:36" x14ac:dyDescent="0.25">
      <c r="A60" t="s">
        <v>86</v>
      </c>
      <c r="B60" t="s">
        <v>111</v>
      </c>
      <c r="C60" t="s">
        <v>111</v>
      </c>
      <c r="D60" t="s">
        <v>88</v>
      </c>
      <c r="E60" t="s">
        <v>111</v>
      </c>
      <c r="F60">
        <v>24000</v>
      </c>
      <c r="G60">
        <f>J60*Assumption!$B$3</f>
        <v>50000</v>
      </c>
      <c r="H60">
        <f>J60*Assumption!$B$4</f>
        <v>50000</v>
      </c>
      <c r="I60">
        <v>10</v>
      </c>
      <c r="J60">
        <f t="shared" si="1"/>
        <v>50</v>
      </c>
      <c r="K60">
        <v>10</v>
      </c>
      <c r="N60">
        <v>50</v>
      </c>
      <c r="X60">
        <f t="shared" si="2"/>
        <v>55</v>
      </c>
      <c r="Y60">
        <f t="shared" si="3"/>
        <v>0</v>
      </c>
      <c r="Z60">
        <v>0</v>
      </c>
      <c r="AA60">
        <f t="shared" si="4"/>
        <v>55</v>
      </c>
      <c r="AB60">
        <f t="shared" si="4"/>
        <v>0</v>
      </c>
      <c r="AC60">
        <f t="shared" si="4"/>
        <v>0</v>
      </c>
      <c r="AD60">
        <f t="shared" si="4"/>
        <v>0</v>
      </c>
      <c r="AE60">
        <f t="shared" si="5"/>
        <v>0</v>
      </c>
      <c r="AF60">
        <f t="shared" si="5"/>
        <v>0</v>
      </c>
      <c r="AG60">
        <f t="shared" si="5"/>
        <v>0</v>
      </c>
      <c r="AH60">
        <f t="shared" si="5"/>
        <v>0</v>
      </c>
      <c r="AI60">
        <f t="shared" si="6"/>
        <v>0</v>
      </c>
      <c r="AJ60">
        <f t="shared" si="6"/>
        <v>0</v>
      </c>
    </row>
    <row r="61" spans="1:36" x14ac:dyDescent="0.25">
      <c r="A61" t="s">
        <v>86</v>
      </c>
      <c r="B61" t="s">
        <v>112</v>
      </c>
      <c r="C61" t="s">
        <v>112</v>
      </c>
      <c r="D61" t="s">
        <v>88</v>
      </c>
      <c r="E61" t="s">
        <v>112</v>
      </c>
      <c r="F61">
        <v>9000</v>
      </c>
      <c r="G61">
        <f>J61*Assumption!$B$3</f>
        <v>50000</v>
      </c>
      <c r="H61">
        <f>J61*Assumption!$B$4</f>
        <v>50000</v>
      </c>
      <c r="I61">
        <v>10</v>
      </c>
      <c r="J61">
        <f t="shared" si="1"/>
        <v>50</v>
      </c>
      <c r="K61">
        <v>10</v>
      </c>
      <c r="N61">
        <v>50</v>
      </c>
      <c r="X61">
        <f t="shared" si="2"/>
        <v>55</v>
      </c>
      <c r="Y61">
        <f t="shared" si="3"/>
        <v>0</v>
      </c>
      <c r="Z61">
        <v>0</v>
      </c>
      <c r="AA61">
        <f t="shared" si="4"/>
        <v>55</v>
      </c>
      <c r="AB61">
        <f t="shared" si="4"/>
        <v>0</v>
      </c>
      <c r="AC61">
        <f t="shared" si="4"/>
        <v>0</v>
      </c>
      <c r="AD61">
        <f t="shared" si="4"/>
        <v>0</v>
      </c>
      <c r="AE61">
        <f t="shared" si="5"/>
        <v>0</v>
      </c>
      <c r="AF61">
        <f t="shared" si="5"/>
        <v>0</v>
      </c>
      <c r="AG61">
        <f t="shared" si="5"/>
        <v>0</v>
      </c>
      <c r="AH61">
        <f t="shared" si="5"/>
        <v>0</v>
      </c>
      <c r="AI61">
        <f t="shared" si="6"/>
        <v>0</v>
      </c>
      <c r="AJ61">
        <f t="shared" si="6"/>
        <v>0</v>
      </c>
    </row>
    <row r="62" spans="1:36" x14ac:dyDescent="0.25">
      <c r="A62" t="s">
        <v>86</v>
      </c>
      <c r="B62" t="s">
        <v>113</v>
      </c>
      <c r="C62" t="s">
        <v>113</v>
      </c>
      <c r="D62" t="s">
        <v>88</v>
      </c>
      <c r="E62" t="s">
        <v>113</v>
      </c>
      <c r="F62">
        <v>102000</v>
      </c>
      <c r="G62">
        <f>J62*Assumption!$B$3</f>
        <v>100000</v>
      </c>
      <c r="H62">
        <f>J62*Assumption!$B$4</f>
        <v>100000</v>
      </c>
      <c r="I62">
        <v>10</v>
      </c>
      <c r="J62">
        <f t="shared" si="1"/>
        <v>100</v>
      </c>
      <c r="K62">
        <v>10</v>
      </c>
      <c r="N62">
        <v>50</v>
      </c>
      <c r="O62">
        <v>50</v>
      </c>
      <c r="X62">
        <f t="shared" si="2"/>
        <v>110</v>
      </c>
      <c r="Y62">
        <f t="shared" si="3"/>
        <v>0</v>
      </c>
      <c r="Z62">
        <v>0</v>
      </c>
      <c r="AA62">
        <f t="shared" si="4"/>
        <v>55</v>
      </c>
      <c r="AB62">
        <f t="shared" si="4"/>
        <v>55</v>
      </c>
      <c r="AC62">
        <f t="shared" si="4"/>
        <v>0</v>
      </c>
      <c r="AD62">
        <f t="shared" si="4"/>
        <v>0</v>
      </c>
      <c r="AE62">
        <f t="shared" si="5"/>
        <v>0</v>
      </c>
      <c r="AF62">
        <f t="shared" si="5"/>
        <v>0</v>
      </c>
      <c r="AG62">
        <f t="shared" si="5"/>
        <v>0</v>
      </c>
      <c r="AH62">
        <f t="shared" si="5"/>
        <v>0</v>
      </c>
      <c r="AI62">
        <f t="shared" si="6"/>
        <v>0</v>
      </c>
      <c r="AJ62">
        <f t="shared" si="6"/>
        <v>0</v>
      </c>
    </row>
    <row r="63" spans="1:36" x14ac:dyDescent="0.25">
      <c r="A63" t="s">
        <v>114</v>
      </c>
      <c r="B63" t="s">
        <v>115</v>
      </c>
      <c r="C63" t="s">
        <v>115</v>
      </c>
      <c r="D63" t="s">
        <v>116</v>
      </c>
      <c r="E63" t="s">
        <v>117</v>
      </c>
      <c r="F63">
        <v>127500</v>
      </c>
      <c r="G63">
        <f>J63*Assumption!$B$3</f>
        <v>200000</v>
      </c>
      <c r="H63">
        <f>J63*Assumption!$B$4</f>
        <v>200000</v>
      </c>
      <c r="I63">
        <v>10</v>
      </c>
      <c r="J63">
        <f t="shared" si="1"/>
        <v>200</v>
      </c>
      <c r="K63">
        <v>10</v>
      </c>
      <c r="T63">
        <v>50</v>
      </c>
      <c r="U63">
        <v>50</v>
      </c>
      <c r="V63">
        <v>50</v>
      </c>
      <c r="W63">
        <v>50</v>
      </c>
      <c r="X63">
        <f t="shared" si="2"/>
        <v>220</v>
      </c>
      <c r="Y63">
        <f t="shared" si="3"/>
        <v>0</v>
      </c>
      <c r="Z63">
        <v>0</v>
      </c>
      <c r="AA63">
        <f t="shared" si="4"/>
        <v>0</v>
      </c>
      <c r="AB63">
        <f t="shared" si="4"/>
        <v>0</v>
      </c>
      <c r="AC63">
        <f t="shared" si="4"/>
        <v>0</v>
      </c>
      <c r="AD63">
        <f t="shared" si="4"/>
        <v>0</v>
      </c>
      <c r="AE63">
        <f t="shared" si="5"/>
        <v>0</v>
      </c>
      <c r="AF63">
        <f t="shared" si="5"/>
        <v>0</v>
      </c>
      <c r="AG63">
        <f t="shared" si="5"/>
        <v>55</v>
      </c>
      <c r="AH63">
        <f t="shared" si="5"/>
        <v>55</v>
      </c>
      <c r="AI63">
        <f t="shared" si="6"/>
        <v>55</v>
      </c>
      <c r="AJ63">
        <f t="shared" si="6"/>
        <v>55</v>
      </c>
    </row>
    <row r="64" spans="1:36" x14ac:dyDescent="0.25">
      <c r="A64" t="s">
        <v>114</v>
      </c>
      <c r="B64" t="s">
        <v>115</v>
      </c>
      <c r="C64" t="s">
        <v>115</v>
      </c>
      <c r="D64" t="s">
        <v>116</v>
      </c>
      <c r="E64" t="s">
        <v>118</v>
      </c>
      <c r="F64">
        <v>52500</v>
      </c>
      <c r="G64">
        <f>J64*Assumption!$B$3</f>
        <v>100000</v>
      </c>
      <c r="H64">
        <f>J64*Assumption!$B$4</f>
        <v>100000</v>
      </c>
      <c r="I64">
        <v>10</v>
      </c>
      <c r="J64">
        <f t="shared" si="1"/>
        <v>100</v>
      </c>
      <c r="K64">
        <v>10</v>
      </c>
      <c r="V64">
        <v>50</v>
      </c>
      <c r="W64">
        <v>50</v>
      </c>
      <c r="X64">
        <f t="shared" si="2"/>
        <v>110</v>
      </c>
      <c r="Y64">
        <f t="shared" si="3"/>
        <v>0</v>
      </c>
      <c r="Z64">
        <v>0</v>
      </c>
      <c r="AA64">
        <f t="shared" si="4"/>
        <v>0</v>
      </c>
      <c r="AB64">
        <f t="shared" si="4"/>
        <v>0</v>
      </c>
      <c r="AC64">
        <f t="shared" si="4"/>
        <v>0</v>
      </c>
      <c r="AD64">
        <f t="shared" si="4"/>
        <v>0</v>
      </c>
      <c r="AE64">
        <f t="shared" si="5"/>
        <v>0</v>
      </c>
      <c r="AF64">
        <f t="shared" si="5"/>
        <v>0</v>
      </c>
      <c r="AG64">
        <f t="shared" si="5"/>
        <v>0</v>
      </c>
      <c r="AH64">
        <f t="shared" si="5"/>
        <v>0</v>
      </c>
      <c r="AI64">
        <f t="shared" si="6"/>
        <v>55</v>
      </c>
      <c r="AJ64">
        <f t="shared" si="6"/>
        <v>55</v>
      </c>
    </row>
    <row r="65" spans="1:36" x14ac:dyDescent="0.25">
      <c r="A65" t="s">
        <v>114</v>
      </c>
      <c r="B65" t="s">
        <v>115</v>
      </c>
      <c r="C65" t="s">
        <v>115</v>
      </c>
      <c r="D65" t="s">
        <v>116</v>
      </c>
      <c r="E65" t="s">
        <v>119</v>
      </c>
      <c r="F65">
        <v>0</v>
      </c>
      <c r="G65">
        <f>J65*Assumption!$B$3</f>
        <v>0</v>
      </c>
      <c r="H65">
        <f>J65*Assumption!$B$4</f>
        <v>0</v>
      </c>
      <c r="I65">
        <v>10</v>
      </c>
      <c r="J65">
        <f t="shared" si="1"/>
        <v>0</v>
      </c>
      <c r="K65">
        <v>10</v>
      </c>
      <c r="X65">
        <f t="shared" si="2"/>
        <v>0</v>
      </c>
      <c r="Y65">
        <f t="shared" si="3"/>
        <v>0</v>
      </c>
      <c r="Z65">
        <v>0</v>
      </c>
      <c r="AA65">
        <f t="shared" si="4"/>
        <v>0</v>
      </c>
      <c r="AB65">
        <f t="shared" si="4"/>
        <v>0</v>
      </c>
      <c r="AC65">
        <f t="shared" si="4"/>
        <v>0</v>
      </c>
      <c r="AD65">
        <f t="shared" si="4"/>
        <v>0</v>
      </c>
      <c r="AE65">
        <f t="shared" si="5"/>
        <v>0</v>
      </c>
      <c r="AF65">
        <f t="shared" si="5"/>
        <v>0</v>
      </c>
      <c r="AG65">
        <f t="shared" si="5"/>
        <v>0</v>
      </c>
      <c r="AH65">
        <f t="shared" si="5"/>
        <v>0</v>
      </c>
      <c r="AI65">
        <f t="shared" si="6"/>
        <v>0</v>
      </c>
      <c r="AJ65">
        <f t="shared" si="6"/>
        <v>0</v>
      </c>
    </row>
    <row r="66" spans="1:36" x14ac:dyDescent="0.25">
      <c r="A66" t="s">
        <v>114</v>
      </c>
      <c r="B66" t="s">
        <v>115</v>
      </c>
      <c r="C66" t="s">
        <v>115</v>
      </c>
      <c r="D66" t="s">
        <v>116</v>
      </c>
      <c r="E66" t="s">
        <v>120</v>
      </c>
      <c r="F66">
        <v>0</v>
      </c>
      <c r="G66">
        <f>J66*Assumption!$B$3</f>
        <v>0</v>
      </c>
      <c r="H66">
        <f>J66*Assumption!$B$4</f>
        <v>0</v>
      </c>
      <c r="I66">
        <v>10</v>
      </c>
      <c r="J66">
        <f t="shared" si="1"/>
        <v>0</v>
      </c>
      <c r="K66">
        <v>10</v>
      </c>
      <c r="X66">
        <f t="shared" si="2"/>
        <v>0</v>
      </c>
      <c r="Y66">
        <f t="shared" si="3"/>
        <v>0</v>
      </c>
      <c r="Z66">
        <v>0</v>
      </c>
      <c r="AA66">
        <f t="shared" si="4"/>
        <v>0</v>
      </c>
      <c r="AB66">
        <f t="shared" si="4"/>
        <v>0</v>
      </c>
      <c r="AC66">
        <f t="shared" si="4"/>
        <v>0</v>
      </c>
      <c r="AD66">
        <f t="shared" si="4"/>
        <v>0</v>
      </c>
      <c r="AE66">
        <f t="shared" si="5"/>
        <v>0</v>
      </c>
      <c r="AF66">
        <f t="shared" si="5"/>
        <v>0</v>
      </c>
      <c r="AG66">
        <f t="shared" si="5"/>
        <v>0</v>
      </c>
      <c r="AH66">
        <f t="shared" si="5"/>
        <v>0</v>
      </c>
      <c r="AI66">
        <f t="shared" si="6"/>
        <v>0</v>
      </c>
      <c r="AJ66">
        <f t="shared" si="6"/>
        <v>0</v>
      </c>
    </row>
    <row r="67" spans="1:36" x14ac:dyDescent="0.25">
      <c r="A67" t="s">
        <v>114</v>
      </c>
      <c r="B67" t="s">
        <v>121</v>
      </c>
      <c r="C67" t="s">
        <v>121</v>
      </c>
      <c r="D67" t="s">
        <v>116</v>
      </c>
      <c r="E67" t="s">
        <v>122</v>
      </c>
      <c r="F67">
        <v>127500</v>
      </c>
      <c r="G67">
        <f>J67*Assumption!$B$3</f>
        <v>200000</v>
      </c>
      <c r="H67">
        <f>J67*Assumption!$B$4</f>
        <v>200000</v>
      </c>
      <c r="I67">
        <v>10</v>
      </c>
      <c r="J67">
        <f t="shared" ref="J67:J95" si="7">SUM(L67:W67)</f>
        <v>200</v>
      </c>
      <c r="K67">
        <v>10</v>
      </c>
      <c r="T67">
        <v>50</v>
      </c>
      <c r="U67">
        <v>50</v>
      </c>
      <c r="V67">
        <v>50</v>
      </c>
      <c r="W67">
        <v>50</v>
      </c>
      <c r="X67">
        <f t="shared" ref="X67:X95" si="8">SUM(Y67:AJ67)</f>
        <v>220</v>
      </c>
      <c r="Y67">
        <f t="shared" ref="Y67:Y95" si="9">ROUND(L67*(100+$K67)/100,0)</f>
        <v>0</v>
      </c>
      <c r="Z67">
        <v>0</v>
      </c>
      <c r="AA67">
        <f t="shared" si="4"/>
        <v>0</v>
      </c>
      <c r="AB67">
        <f t="shared" si="4"/>
        <v>0</v>
      </c>
      <c r="AC67">
        <f t="shared" si="4"/>
        <v>0</v>
      </c>
      <c r="AD67">
        <f t="shared" si="4"/>
        <v>0</v>
      </c>
      <c r="AE67">
        <f t="shared" si="5"/>
        <v>0</v>
      </c>
      <c r="AF67">
        <f t="shared" si="5"/>
        <v>0</v>
      </c>
      <c r="AG67">
        <f t="shared" si="5"/>
        <v>55</v>
      </c>
      <c r="AH67">
        <f t="shared" si="5"/>
        <v>55</v>
      </c>
      <c r="AI67">
        <f t="shared" si="6"/>
        <v>55</v>
      </c>
      <c r="AJ67">
        <f t="shared" si="6"/>
        <v>55</v>
      </c>
    </row>
    <row r="68" spans="1:36" x14ac:dyDescent="0.25">
      <c r="A68" t="s">
        <v>114</v>
      </c>
      <c r="B68" t="s">
        <v>121</v>
      </c>
      <c r="C68" t="s">
        <v>121</v>
      </c>
      <c r="D68" t="s">
        <v>116</v>
      </c>
      <c r="E68" t="s">
        <v>123</v>
      </c>
      <c r="F68">
        <v>60000</v>
      </c>
      <c r="G68">
        <f>J68*Assumption!$B$3</f>
        <v>100000</v>
      </c>
      <c r="H68">
        <f>J68*Assumption!$B$4</f>
        <v>100000</v>
      </c>
      <c r="I68">
        <v>10</v>
      </c>
      <c r="J68">
        <f t="shared" si="7"/>
        <v>100</v>
      </c>
      <c r="K68">
        <v>10</v>
      </c>
      <c r="V68">
        <v>50</v>
      </c>
      <c r="W68">
        <v>50</v>
      </c>
      <c r="X68">
        <f t="shared" si="8"/>
        <v>110</v>
      </c>
      <c r="Y68">
        <f t="shared" si="9"/>
        <v>0</v>
      </c>
      <c r="Z68">
        <v>0</v>
      </c>
      <c r="AA68">
        <f t="shared" si="4"/>
        <v>0</v>
      </c>
      <c r="AB68">
        <f t="shared" si="4"/>
        <v>0</v>
      </c>
      <c r="AC68">
        <f t="shared" si="4"/>
        <v>0</v>
      </c>
      <c r="AD68">
        <f t="shared" si="4"/>
        <v>0</v>
      </c>
      <c r="AE68">
        <f t="shared" si="5"/>
        <v>0</v>
      </c>
      <c r="AF68">
        <f t="shared" si="5"/>
        <v>0</v>
      </c>
      <c r="AG68">
        <f t="shared" si="5"/>
        <v>0</v>
      </c>
      <c r="AH68">
        <f t="shared" si="5"/>
        <v>0</v>
      </c>
      <c r="AI68">
        <f t="shared" si="6"/>
        <v>55</v>
      </c>
      <c r="AJ68">
        <f t="shared" si="6"/>
        <v>55</v>
      </c>
    </row>
    <row r="69" spans="1:36" x14ac:dyDescent="0.25">
      <c r="A69" t="s">
        <v>114</v>
      </c>
      <c r="B69" t="s">
        <v>124</v>
      </c>
      <c r="C69" t="s">
        <v>124</v>
      </c>
      <c r="D69" t="s">
        <v>116</v>
      </c>
      <c r="E69" t="s">
        <v>125</v>
      </c>
      <c r="F69">
        <v>165000</v>
      </c>
      <c r="G69">
        <f>J69*Assumption!$B$3</f>
        <v>200000</v>
      </c>
      <c r="H69">
        <f>J69*Assumption!$B$4</f>
        <v>200000</v>
      </c>
      <c r="I69">
        <v>10</v>
      </c>
      <c r="J69">
        <f t="shared" si="7"/>
        <v>200</v>
      </c>
      <c r="K69">
        <v>10</v>
      </c>
      <c r="T69">
        <v>50</v>
      </c>
      <c r="U69">
        <v>50</v>
      </c>
      <c r="V69">
        <v>50</v>
      </c>
      <c r="W69">
        <v>50</v>
      </c>
      <c r="X69">
        <f t="shared" si="8"/>
        <v>220</v>
      </c>
      <c r="Y69">
        <f t="shared" si="9"/>
        <v>0</v>
      </c>
      <c r="Z69">
        <v>0</v>
      </c>
      <c r="AA69">
        <f t="shared" si="4"/>
        <v>0</v>
      </c>
      <c r="AB69">
        <f t="shared" si="4"/>
        <v>0</v>
      </c>
      <c r="AC69">
        <f t="shared" si="4"/>
        <v>0</v>
      </c>
      <c r="AD69">
        <f t="shared" si="4"/>
        <v>0</v>
      </c>
      <c r="AE69">
        <f t="shared" si="5"/>
        <v>0</v>
      </c>
      <c r="AF69">
        <f t="shared" si="5"/>
        <v>0</v>
      </c>
      <c r="AG69">
        <f t="shared" si="5"/>
        <v>55</v>
      </c>
      <c r="AH69">
        <f t="shared" si="5"/>
        <v>55</v>
      </c>
      <c r="AI69">
        <f t="shared" si="6"/>
        <v>55</v>
      </c>
      <c r="AJ69">
        <f t="shared" si="6"/>
        <v>55</v>
      </c>
    </row>
    <row r="70" spans="1:36" x14ac:dyDescent="0.25">
      <c r="A70" t="s">
        <v>114</v>
      </c>
      <c r="B70" t="s">
        <v>124</v>
      </c>
      <c r="C70" t="s">
        <v>124</v>
      </c>
      <c r="D70" t="s">
        <v>116</v>
      </c>
      <c r="E70" t="s">
        <v>126</v>
      </c>
      <c r="F70">
        <v>0</v>
      </c>
      <c r="G70">
        <f>J70*Assumption!$B$3</f>
        <v>0</v>
      </c>
      <c r="H70">
        <f>J70*Assumption!$B$4</f>
        <v>0</v>
      </c>
      <c r="I70">
        <v>10</v>
      </c>
      <c r="J70">
        <f t="shared" si="7"/>
        <v>0</v>
      </c>
      <c r="K70">
        <v>10</v>
      </c>
      <c r="X70">
        <f t="shared" si="8"/>
        <v>0</v>
      </c>
      <c r="Y70">
        <f t="shared" si="9"/>
        <v>0</v>
      </c>
      <c r="Z70">
        <v>0</v>
      </c>
      <c r="AA70">
        <f t="shared" si="4"/>
        <v>0</v>
      </c>
      <c r="AB70">
        <f t="shared" si="4"/>
        <v>0</v>
      </c>
      <c r="AC70">
        <f t="shared" si="4"/>
        <v>0</v>
      </c>
      <c r="AD70">
        <f t="shared" si="4"/>
        <v>0</v>
      </c>
      <c r="AE70">
        <f t="shared" si="5"/>
        <v>0</v>
      </c>
      <c r="AF70">
        <f t="shared" si="5"/>
        <v>0</v>
      </c>
      <c r="AG70">
        <f t="shared" si="5"/>
        <v>0</v>
      </c>
      <c r="AH70">
        <f t="shared" si="5"/>
        <v>0</v>
      </c>
      <c r="AI70">
        <f t="shared" si="6"/>
        <v>0</v>
      </c>
      <c r="AJ70">
        <f t="shared" si="6"/>
        <v>0</v>
      </c>
    </row>
    <row r="71" spans="1:36" x14ac:dyDescent="0.25">
      <c r="A71" t="s">
        <v>114</v>
      </c>
      <c r="B71" t="s">
        <v>124</v>
      </c>
      <c r="C71" t="s">
        <v>124</v>
      </c>
      <c r="D71" t="s">
        <v>116</v>
      </c>
      <c r="E71" t="s">
        <v>127</v>
      </c>
      <c r="F71">
        <v>0</v>
      </c>
      <c r="G71">
        <f>J71*Assumption!$B$3</f>
        <v>0</v>
      </c>
      <c r="H71">
        <f>J71*Assumption!$B$4</f>
        <v>0</v>
      </c>
      <c r="I71">
        <v>10</v>
      </c>
      <c r="J71">
        <f t="shared" si="7"/>
        <v>0</v>
      </c>
      <c r="K71">
        <v>10</v>
      </c>
      <c r="X71">
        <f t="shared" si="8"/>
        <v>0</v>
      </c>
      <c r="Y71">
        <f t="shared" si="9"/>
        <v>0</v>
      </c>
      <c r="Z71">
        <v>0</v>
      </c>
      <c r="AA71">
        <f t="shared" si="4"/>
        <v>0</v>
      </c>
      <c r="AB71">
        <f t="shared" si="4"/>
        <v>0</v>
      </c>
      <c r="AC71">
        <f t="shared" si="4"/>
        <v>0</v>
      </c>
      <c r="AD71">
        <f t="shared" si="4"/>
        <v>0</v>
      </c>
      <c r="AE71">
        <f t="shared" si="5"/>
        <v>0</v>
      </c>
      <c r="AF71">
        <f t="shared" si="5"/>
        <v>0</v>
      </c>
      <c r="AG71">
        <f t="shared" si="5"/>
        <v>0</v>
      </c>
      <c r="AH71">
        <f t="shared" si="5"/>
        <v>0</v>
      </c>
      <c r="AI71">
        <f t="shared" si="6"/>
        <v>0</v>
      </c>
      <c r="AJ71">
        <f t="shared" si="6"/>
        <v>0</v>
      </c>
    </row>
    <row r="72" spans="1:36" x14ac:dyDescent="0.25">
      <c r="A72" t="s">
        <v>114</v>
      </c>
      <c r="B72" t="s">
        <v>124</v>
      </c>
      <c r="C72" t="s">
        <v>124</v>
      </c>
      <c r="D72" t="s">
        <v>116</v>
      </c>
      <c r="E72" t="s">
        <v>128</v>
      </c>
      <c r="F72">
        <v>0</v>
      </c>
      <c r="G72">
        <f>J72*Assumption!$B$3</f>
        <v>0</v>
      </c>
      <c r="H72">
        <f>J72*Assumption!$B$4</f>
        <v>0</v>
      </c>
      <c r="I72">
        <v>10</v>
      </c>
      <c r="J72">
        <f t="shared" si="7"/>
        <v>0</v>
      </c>
      <c r="K72">
        <v>10</v>
      </c>
      <c r="X72">
        <f t="shared" si="8"/>
        <v>0</v>
      </c>
      <c r="Y72">
        <f t="shared" si="9"/>
        <v>0</v>
      </c>
      <c r="Z72">
        <v>0</v>
      </c>
      <c r="AA72">
        <f t="shared" si="4"/>
        <v>0</v>
      </c>
      <c r="AB72">
        <f t="shared" si="4"/>
        <v>0</v>
      </c>
      <c r="AC72">
        <f t="shared" si="4"/>
        <v>0</v>
      </c>
      <c r="AD72">
        <f t="shared" si="4"/>
        <v>0</v>
      </c>
      <c r="AE72">
        <f t="shared" si="5"/>
        <v>0</v>
      </c>
      <c r="AF72">
        <f t="shared" si="5"/>
        <v>0</v>
      </c>
      <c r="AG72">
        <f t="shared" si="5"/>
        <v>0</v>
      </c>
      <c r="AH72">
        <f t="shared" si="5"/>
        <v>0</v>
      </c>
      <c r="AI72">
        <f t="shared" si="6"/>
        <v>0</v>
      </c>
      <c r="AJ72">
        <f t="shared" si="6"/>
        <v>0</v>
      </c>
    </row>
    <row r="73" spans="1:36" x14ac:dyDescent="0.25">
      <c r="A73" t="s">
        <v>114</v>
      </c>
      <c r="B73" t="s">
        <v>129</v>
      </c>
      <c r="C73" t="s">
        <v>129</v>
      </c>
      <c r="D73" t="s">
        <v>116</v>
      </c>
      <c r="E73" t="s">
        <v>130</v>
      </c>
      <c r="F73">
        <v>165000</v>
      </c>
      <c r="G73">
        <f>J73*Assumption!$B$3</f>
        <v>200000</v>
      </c>
      <c r="H73">
        <f>J73*Assumption!$B$4</f>
        <v>200000</v>
      </c>
      <c r="I73">
        <v>10</v>
      </c>
      <c r="J73">
        <f t="shared" si="7"/>
        <v>200</v>
      </c>
      <c r="K73">
        <v>10</v>
      </c>
      <c r="T73">
        <v>50</v>
      </c>
      <c r="U73">
        <v>50</v>
      </c>
      <c r="V73">
        <v>50</v>
      </c>
      <c r="W73">
        <v>50</v>
      </c>
      <c r="X73">
        <f t="shared" si="8"/>
        <v>220</v>
      </c>
      <c r="Y73">
        <f t="shared" si="9"/>
        <v>0</v>
      </c>
      <c r="Z73">
        <v>0</v>
      </c>
      <c r="AA73">
        <f t="shared" si="4"/>
        <v>0</v>
      </c>
      <c r="AB73">
        <f t="shared" si="4"/>
        <v>0</v>
      </c>
      <c r="AC73">
        <f t="shared" si="4"/>
        <v>0</v>
      </c>
      <c r="AD73">
        <f t="shared" si="4"/>
        <v>0</v>
      </c>
      <c r="AE73">
        <f t="shared" si="5"/>
        <v>0</v>
      </c>
      <c r="AF73">
        <f t="shared" si="5"/>
        <v>0</v>
      </c>
      <c r="AG73">
        <f t="shared" si="5"/>
        <v>55</v>
      </c>
      <c r="AH73">
        <f t="shared" si="5"/>
        <v>55</v>
      </c>
      <c r="AI73">
        <f t="shared" si="6"/>
        <v>55</v>
      </c>
      <c r="AJ73">
        <f t="shared" si="6"/>
        <v>55</v>
      </c>
    </row>
    <row r="74" spans="1:36" x14ac:dyDescent="0.25">
      <c r="A74" t="s">
        <v>114</v>
      </c>
      <c r="B74" t="s">
        <v>129</v>
      </c>
      <c r="C74" t="s">
        <v>129</v>
      </c>
      <c r="D74" t="s">
        <v>116</v>
      </c>
      <c r="E74" t="s">
        <v>131</v>
      </c>
      <c r="F74">
        <v>60000</v>
      </c>
      <c r="G74">
        <f>J74*Assumption!$B$3</f>
        <v>100000</v>
      </c>
      <c r="H74">
        <f>J74*Assumption!$B$4</f>
        <v>100000</v>
      </c>
      <c r="I74">
        <v>10</v>
      </c>
      <c r="J74">
        <f t="shared" si="7"/>
        <v>100</v>
      </c>
      <c r="K74">
        <v>10</v>
      </c>
      <c r="V74">
        <v>50</v>
      </c>
      <c r="W74">
        <v>50</v>
      </c>
      <c r="X74">
        <f t="shared" si="8"/>
        <v>110</v>
      </c>
      <c r="Y74">
        <f t="shared" si="9"/>
        <v>0</v>
      </c>
      <c r="Z74">
        <v>0</v>
      </c>
      <c r="AA74">
        <f t="shared" si="4"/>
        <v>0</v>
      </c>
      <c r="AB74">
        <f t="shared" si="4"/>
        <v>0</v>
      </c>
      <c r="AC74">
        <f t="shared" si="4"/>
        <v>0</v>
      </c>
      <c r="AD74">
        <f t="shared" si="4"/>
        <v>0</v>
      </c>
      <c r="AE74">
        <f t="shared" si="5"/>
        <v>0</v>
      </c>
      <c r="AF74">
        <f t="shared" si="5"/>
        <v>0</v>
      </c>
      <c r="AG74">
        <f t="shared" si="5"/>
        <v>0</v>
      </c>
      <c r="AH74">
        <f t="shared" si="5"/>
        <v>0</v>
      </c>
      <c r="AI74">
        <f t="shared" si="6"/>
        <v>55</v>
      </c>
      <c r="AJ74">
        <f t="shared" si="6"/>
        <v>55</v>
      </c>
    </row>
    <row r="75" spans="1:36" x14ac:dyDescent="0.25">
      <c r="A75" t="s">
        <v>114</v>
      </c>
      <c r="B75" t="s">
        <v>129</v>
      </c>
      <c r="C75" t="s">
        <v>129</v>
      </c>
      <c r="D75" t="s">
        <v>116</v>
      </c>
      <c r="E75" t="s">
        <v>132</v>
      </c>
      <c r="F75">
        <v>0</v>
      </c>
      <c r="G75">
        <f>J75*Assumption!$B$3</f>
        <v>0</v>
      </c>
      <c r="H75">
        <f>J75*Assumption!$B$4</f>
        <v>0</v>
      </c>
      <c r="I75">
        <v>10</v>
      </c>
      <c r="J75">
        <f t="shared" si="7"/>
        <v>0</v>
      </c>
      <c r="K75">
        <v>10</v>
      </c>
      <c r="X75">
        <f t="shared" si="8"/>
        <v>0</v>
      </c>
      <c r="Y75">
        <f t="shared" si="9"/>
        <v>0</v>
      </c>
      <c r="Z75">
        <v>0</v>
      </c>
      <c r="AA75">
        <f t="shared" si="4"/>
        <v>0</v>
      </c>
      <c r="AB75">
        <f t="shared" si="4"/>
        <v>0</v>
      </c>
      <c r="AC75">
        <f t="shared" si="4"/>
        <v>0</v>
      </c>
      <c r="AD75">
        <f t="shared" si="4"/>
        <v>0</v>
      </c>
      <c r="AE75">
        <f t="shared" si="5"/>
        <v>0</v>
      </c>
      <c r="AF75">
        <f t="shared" si="5"/>
        <v>0</v>
      </c>
      <c r="AG75">
        <f t="shared" si="5"/>
        <v>0</v>
      </c>
      <c r="AH75">
        <f t="shared" si="5"/>
        <v>0</v>
      </c>
      <c r="AI75">
        <f t="shared" si="6"/>
        <v>0</v>
      </c>
      <c r="AJ75">
        <f t="shared" si="6"/>
        <v>0</v>
      </c>
    </row>
    <row r="76" spans="1:36" x14ac:dyDescent="0.25">
      <c r="A76" t="s">
        <v>114</v>
      </c>
      <c r="B76" t="s">
        <v>133</v>
      </c>
      <c r="C76" t="s">
        <v>133</v>
      </c>
      <c r="D76" t="s">
        <v>116</v>
      </c>
      <c r="E76" t="s">
        <v>134</v>
      </c>
      <c r="F76">
        <v>0</v>
      </c>
      <c r="G76">
        <f>J76*Assumption!$B$3</f>
        <v>0</v>
      </c>
      <c r="H76">
        <f>J76*Assumption!$B$4</f>
        <v>0</v>
      </c>
      <c r="I76">
        <v>10</v>
      </c>
      <c r="J76">
        <f t="shared" si="7"/>
        <v>0</v>
      </c>
      <c r="K76">
        <v>10</v>
      </c>
      <c r="X76">
        <f t="shared" si="8"/>
        <v>0</v>
      </c>
      <c r="Y76">
        <f t="shared" si="9"/>
        <v>0</v>
      </c>
      <c r="Z76">
        <v>0</v>
      </c>
      <c r="AA76">
        <f t="shared" si="4"/>
        <v>0</v>
      </c>
      <c r="AB76">
        <f t="shared" si="4"/>
        <v>0</v>
      </c>
      <c r="AC76">
        <f t="shared" si="4"/>
        <v>0</v>
      </c>
      <c r="AD76">
        <f t="shared" si="4"/>
        <v>0</v>
      </c>
      <c r="AE76">
        <f t="shared" si="5"/>
        <v>0</v>
      </c>
      <c r="AF76">
        <f t="shared" si="5"/>
        <v>0</v>
      </c>
      <c r="AG76">
        <f t="shared" si="5"/>
        <v>0</v>
      </c>
      <c r="AH76">
        <f t="shared" si="5"/>
        <v>0</v>
      </c>
      <c r="AI76">
        <f t="shared" si="6"/>
        <v>0</v>
      </c>
      <c r="AJ76">
        <f t="shared" si="6"/>
        <v>0</v>
      </c>
    </row>
    <row r="77" spans="1:36" x14ac:dyDescent="0.25">
      <c r="A77" t="s">
        <v>135</v>
      </c>
      <c r="B77" t="s">
        <v>136</v>
      </c>
      <c r="C77" t="s">
        <v>136</v>
      </c>
      <c r="D77" t="s">
        <v>137</v>
      </c>
      <c r="E77" t="s">
        <v>138</v>
      </c>
      <c r="F77">
        <v>150000</v>
      </c>
      <c r="G77">
        <f>J77*Assumption!$B$3</f>
        <v>150000</v>
      </c>
      <c r="H77">
        <f>J77*Assumption!$B$4</f>
        <v>150000</v>
      </c>
      <c r="I77">
        <v>10</v>
      </c>
      <c r="J77">
        <f t="shared" si="7"/>
        <v>150</v>
      </c>
      <c r="K77">
        <v>10</v>
      </c>
      <c r="Q77">
        <v>50</v>
      </c>
      <c r="R77">
        <v>50</v>
      </c>
      <c r="S77">
        <v>50</v>
      </c>
      <c r="X77">
        <f t="shared" si="8"/>
        <v>165</v>
      </c>
      <c r="Y77">
        <f t="shared" si="9"/>
        <v>0</v>
      </c>
      <c r="Z77">
        <v>0</v>
      </c>
      <c r="AA77">
        <f t="shared" si="4"/>
        <v>0</v>
      </c>
      <c r="AB77">
        <f t="shared" si="4"/>
        <v>0</v>
      </c>
      <c r="AC77">
        <f t="shared" si="4"/>
        <v>0</v>
      </c>
      <c r="AD77">
        <f t="shared" si="4"/>
        <v>55</v>
      </c>
      <c r="AE77">
        <f t="shared" si="5"/>
        <v>55</v>
      </c>
      <c r="AF77">
        <f t="shared" si="5"/>
        <v>55</v>
      </c>
      <c r="AG77">
        <f t="shared" si="5"/>
        <v>0</v>
      </c>
      <c r="AH77">
        <f t="shared" si="5"/>
        <v>0</v>
      </c>
      <c r="AI77">
        <f t="shared" si="6"/>
        <v>0</v>
      </c>
      <c r="AJ77">
        <f t="shared" si="6"/>
        <v>0</v>
      </c>
    </row>
    <row r="78" spans="1:36" x14ac:dyDescent="0.25">
      <c r="A78" t="s">
        <v>135</v>
      </c>
      <c r="B78" t="s">
        <v>136</v>
      </c>
      <c r="C78" t="s">
        <v>136</v>
      </c>
      <c r="D78" t="s">
        <v>137</v>
      </c>
      <c r="E78" t="s">
        <v>139</v>
      </c>
      <c r="F78">
        <v>132000</v>
      </c>
      <c r="G78">
        <f>J78*Assumption!$B$3</f>
        <v>150000</v>
      </c>
      <c r="H78">
        <f>J78*Assumption!$B$4</f>
        <v>150000</v>
      </c>
      <c r="I78">
        <v>10</v>
      </c>
      <c r="J78">
        <f t="shared" si="7"/>
        <v>150</v>
      </c>
      <c r="K78">
        <v>10</v>
      </c>
      <c r="Q78">
        <v>50</v>
      </c>
      <c r="R78">
        <v>50</v>
      </c>
      <c r="S78">
        <v>50</v>
      </c>
      <c r="X78">
        <f t="shared" si="8"/>
        <v>165</v>
      </c>
      <c r="Y78">
        <f t="shared" si="9"/>
        <v>0</v>
      </c>
      <c r="Z78">
        <v>0</v>
      </c>
      <c r="AA78">
        <f t="shared" si="4"/>
        <v>0</v>
      </c>
      <c r="AB78">
        <f t="shared" si="4"/>
        <v>0</v>
      </c>
      <c r="AC78">
        <f t="shared" si="4"/>
        <v>0</v>
      </c>
      <c r="AD78">
        <f t="shared" si="4"/>
        <v>55</v>
      </c>
      <c r="AE78">
        <f t="shared" si="5"/>
        <v>55</v>
      </c>
      <c r="AF78">
        <f t="shared" si="5"/>
        <v>55</v>
      </c>
      <c r="AG78">
        <f t="shared" si="5"/>
        <v>0</v>
      </c>
      <c r="AH78">
        <f t="shared" si="5"/>
        <v>0</v>
      </c>
      <c r="AI78">
        <f t="shared" si="6"/>
        <v>0</v>
      </c>
      <c r="AJ78">
        <f t="shared" si="6"/>
        <v>0</v>
      </c>
    </row>
    <row r="79" spans="1:36" x14ac:dyDescent="0.25">
      <c r="A79" t="s">
        <v>135</v>
      </c>
      <c r="B79" t="s">
        <v>136</v>
      </c>
      <c r="C79" t="s">
        <v>136</v>
      </c>
      <c r="D79" t="s">
        <v>137</v>
      </c>
      <c r="E79" t="s">
        <v>140</v>
      </c>
      <c r="F79">
        <v>168000</v>
      </c>
      <c r="G79">
        <f>J79*Assumption!$B$3</f>
        <v>100000</v>
      </c>
      <c r="H79">
        <f>J79*Assumption!$B$4</f>
        <v>100000</v>
      </c>
      <c r="I79">
        <v>10</v>
      </c>
      <c r="J79">
        <f t="shared" si="7"/>
        <v>100</v>
      </c>
      <c r="K79">
        <v>10</v>
      </c>
      <c r="U79">
        <v>50</v>
      </c>
      <c r="V79">
        <v>50</v>
      </c>
      <c r="X79">
        <f t="shared" si="8"/>
        <v>110</v>
      </c>
      <c r="Y79">
        <f t="shared" si="9"/>
        <v>0</v>
      </c>
      <c r="Z79">
        <v>0</v>
      </c>
      <c r="AA79">
        <f t="shared" si="4"/>
        <v>0</v>
      </c>
      <c r="AB79">
        <f t="shared" si="4"/>
        <v>0</v>
      </c>
      <c r="AC79">
        <f t="shared" si="4"/>
        <v>0</v>
      </c>
      <c r="AD79">
        <f t="shared" si="4"/>
        <v>0</v>
      </c>
      <c r="AE79">
        <f t="shared" si="5"/>
        <v>0</v>
      </c>
      <c r="AF79">
        <f t="shared" si="5"/>
        <v>0</v>
      </c>
      <c r="AG79">
        <f t="shared" si="5"/>
        <v>0</v>
      </c>
      <c r="AH79">
        <f t="shared" si="5"/>
        <v>55</v>
      </c>
      <c r="AI79">
        <f t="shared" si="6"/>
        <v>55</v>
      </c>
      <c r="AJ79">
        <f t="shared" si="6"/>
        <v>0</v>
      </c>
    </row>
    <row r="80" spans="1:36" x14ac:dyDescent="0.25">
      <c r="A80" t="s">
        <v>135</v>
      </c>
      <c r="B80" t="s">
        <v>141</v>
      </c>
      <c r="C80" t="s">
        <v>141</v>
      </c>
      <c r="D80" t="s">
        <v>137</v>
      </c>
      <c r="E80" t="s">
        <v>142</v>
      </c>
      <c r="F80">
        <v>225000</v>
      </c>
      <c r="G80">
        <f>J80*Assumption!$B$3</f>
        <v>200000</v>
      </c>
      <c r="H80">
        <f>J80*Assumption!$B$4</f>
        <v>200000</v>
      </c>
      <c r="I80">
        <v>10</v>
      </c>
      <c r="J80">
        <f t="shared" si="7"/>
        <v>200</v>
      </c>
      <c r="K80">
        <v>10</v>
      </c>
      <c r="Q80">
        <v>50</v>
      </c>
      <c r="R80">
        <v>50</v>
      </c>
      <c r="S80">
        <v>50</v>
      </c>
      <c r="T80">
        <v>50</v>
      </c>
      <c r="X80">
        <f t="shared" si="8"/>
        <v>220</v>
      </c>
      <c r="Y80">
        <f t="shared" si="9"/>
        <v>0</v>
      </c>
      <c r="Z80">
        <v>0</v>
      </c>
      <c r="AA80">
        <f t="shared" si="4"/>
        <v>0</v>
      </c>
      <c r="AB80">
        <f t="shared" si="4"/>
        <v>0</v>
      </c>
      <c r="AC80">
        <f t="shared" si="4"/>
        <v>0</v>
      </c>
      <c r="AD80">
        <f t="shared" si="4"/>
        <v>55</v>
      </c>
      <c r="AE80">
        <f t="shared" si="5"/>
        <v>55</v>
      </c>
      <c r="AF80">
        <f t="shared" si="5"/>
        <v>55</v>
      </c>
      <c r="AG80">
        <f t="shared" si="5"/>
        <v>55</v>
      </c>
      <c r="AH80">
        <f t="shared" si="5"/>
        <v>0</v>
      </c>
      <c r="AI80">
        <f t="shared" si="6"/>
        <v>0</v>
      </c>
      <c r="AJ80">
        <f t="shared" si="6"/>
        <v>0</v>
      </c>
    </row>
    <row r="81" spans="1:36" x14ac:dyDescent="0.25">
      <c r="A81" t="s">
        <v>135</v>
      </c>
      <c r="B81" t="s">
        <v>143</v>
      </c>
      <c r="C81" t="s">
        <v>143</v>
      </c>
      <c r="D81" t="s">
        <v>137</v>
      </c>
      <c r="E81" t="s">
        <v>144</v>
      </c>
      <c r="F81">
        <v>0</v>
      </c>
      <c r="G81">
        <f>J81*Assumption!$B$3</f>
        <v>0</v>
      </c>
      <c r="H81">
        <f>J81*Assumption!$B$4</f>
        <v>0</v>
      </c>
      <c r="I81">
        <v>10</v>
      </c>
      <c r="J81">
        <f t="shared" si="7"/>
        <v>0</v>
      </c>
      <c r="K81">
        <v>10</v>
      </c>
      <c r="X81">
        <f t="shared" si="8"/>
        <v>0</v>
      </c>
      <c r="Y81">
        <f t="shared" si="9"/>
        <v>0</v>
      </c>
      <c r="Z81">
        <v>0</v>
      </c>
      <c r="AA81">
        <f t="shared" si="4"/>
        <v>0</v>
      </c>
      <c r="AB81">
        <f t="shared" si="4"/>
        <v>0</v>
      </c>
      <c r="AC81">
        <f t="shared" si="4"/>
        <v>0</v>
      </c>
      <c r="AD81">
        <f t="shared" ref="AD81:AG95" si="10">ROUND(Q81*(100+$K81)/100,0)</f>
        <v>0</v>
      </c>
      <c r="AE81">
        <f t="shared" si="5"/>
        <v>0</v>
      </c>
      <c r="AF81">
        <f t="shared" si="5"/>
        <v>0</v>
      </c>
      <c r="AG81">
        <f t="shared" si="5"/>
        <v>0</v>
      </c>
      <c r="AH81">
        <f t="shared" ref="AH81:AJ95" si="11">ROUND(U81*(100+$K81)/100,0)</f>
        <v>0</v>
      </c>
      <c r="AI81">
        <f t="shared" si="6"/>
        <v>0</v>
      </c>
      <c r="AJ81">
        <f t="shared" si="6"/>
        <v>0</v>
      </c>
    </row>
    <row r="82" spans="1:36" x14ac:dyDescent="0.25">
      <c r="A82" t="s">
        <v>135</v>
      </c>
      <c r="B82" t="s">
        <v>145</v>
      </c>
      <c r="C82" t="s">
        <v>145</v>
      </c>
      <c r="D82" t="s">
        <v>137</v>
      </c>
      <c r="E82" t="s">
        <v>146</v>
      </c>
      <c r="F82">
        <v>60000</v>
      </c>
      <c r="G82">
        <f>J82*Assumption!$B$3</f>
        <v>100000</v>
      </c>
      <c r="H82">
        <f>J82*Assumption!$B$4</f>
        <v>100000</v>
      </c>
      <c r="I82">
        <v>10</v>
      </c>
      <c r="J82">
        <f t="shared" si="7"/>
        <v>100</v>
      </c>
      <c r="K82">
        <v>10</v>
      </c>
      <c r="V82">
        <v>50</v>
      </c>
      <c r="W82">
        <v>50</v>
      </c>
      <c r="X82">
        <f t="shared" si="8"/>
        <v>110</v>
      </c>
      <c r="Y82">
        <f t="shared" si="9"/>
        <v>0</v>
      </c>
      <c r="Z82">
        <v>0</v>
      </c>
      <c r="AA82">
        <f t="shared" ref="AA82:AC95" si="12">ROUND(N82*(100+$K82)/100,0)</f>
        <v>0</v>
      </c>
      <c r="AB82">
        <f t="shared" si="12"/>
        <v>0</v>
      </c>
      <c r="AC82">
        <f t="shared" si="12"/>
        <v>0</v>
      </c>
      <c r="AD82">
        <f t="shared" si="10"/>
        <v>0</v>
      </c>
      <c r="AE82">
        <f t="shared" si="10"/>
        <v>0</v>
      </c>
      <c r="AF82">
        <f t="shared" si="10"/>
        <v>0</v>
      </c>
      <c r="AG82">
        <f t="shared" si="10"/>
        <v>0</v>
      </c>
      <c r="AH82">
        <f t="shared" si="11"/>
        <v>0</v>
      </c>
      <c r="AI82">
        <f t="shared" si="11"/>
        <v>55</v>
      </c>
      <c r="AJ82">
        <f t="shared" si="11"/>
        <v>55</v>
      </c>
    </row>
    <row r="83" spans="1:36" x14ac:dyDescent="0.25">
      <c r="A83" t="s">
        <v>135</v>
      </c>
      <c r="B83" t="s">
        <v>145</v>
      </c>
      <c r="C83" t="s">
        <v>145</v>
      </c>
      <c r="D83" t="s">
        <v>137</v>
      </c>
      <c r="E83" t="s">
        <v>147</v>
      </c>
      <c r="F83">
        <v>0</v>
      </c>
      <c r="G83">
        <f>J83*Assumption!$B$3</f>
        <v>0</v>
      </c>
      <c r="H83">
        <f>J83*Assumption!$B$4</f>
        <v>0</v>
      </c>
      <c r="I83">
        <v>10</v>
      </c>
      <c r="J83">
        <f t="shared" si="7"/>
        <v>0</v>
      </c>
      <c r="K83">
        <v>10</v>
      </c>
      <c r="X83">
        <f t="shared" si="8"/>
        <v>0</v>
      </c>
      <c r="Y83">
        <f t="shared" si="9"/>
        <v>0</v>
      </c>
      <c r="Z83">
        <v>0</v>
      </c>
      <c r="AA83">
        <f t="shared" si="12"/>
        <v>0</v>
      </c>
      <c r="AB83">
        <f t="shared" si="12"/>
        <v>0</v>
      </c>
      <c r="AC83">
        <f t="shared" si="12"/>
        <v>0</v>
      </c>
      <c r="AD83">
        <f t="shared" si="10"/>
        <v>0</v>
      </c>
      <c r="AE83">
        <f t="shared" si="10"/>
        <v>0</v>
      </c>
      <c r="AF83">
        <f t="shared" si="10"/>
        <v>0</v>
      </c>
      <c r="AG83">
        <f t="shared" si="10"/>
        <v>0</v>
      </c>
      <c r="AH83">
        <f t="shared" si="11"/>
        <v>0</v>
      </c>
      <c r="AI83">
        <f t="shared" si="11"/>
        <v>0</v>
      </c>
      <c r="AJ83">
        <f t="shared" si="11"/>
        <v>0</v>
      </c>
    </row>
    <row r="84" spans="1:36" x14ac:dyDescent="0.25">
      <c r="A84" t="s">
        <v>135</v>
      </c>
      <c r="B84" t="s">
        <v>145</v>
      </c>
      <c r="C84" t="s">
        <v>145</v>
      </c>
      <c r="D84" t="s">
        <v>137</v>
      </c>
      <c r="E84" t="s">
        <v>148</v>
      </c>
      <c r="F84">
        <v>0</v>
      </c>
      <c r="G84">
        <f>J84*Assumption!$B$3</f>
        <v>0</v>
      </c>
      <c r="H84">
        <f>J84*Assumption!$B$4</f>
        <v>0</v>
      </c>
      <c r="I84">
        <v>10</v>
      </c>
      <c r="J84">
        <f t="shared" si="7"/>
        <v>0</v>
      </c>
      <c r="K84">
        <v>10</v>
      </c>
      <c r="X84">
        <f t="shared" si="8"/>
        <v>0</v>
      </c>
      <c r="Y84">
        <f t="shared" si="9"/>
        <v>0</v>
      </c>
      <c r="Z84">
        <v>0</v>
      </c>
      <c r="AA84">
        <f t="shared" si="12"/>
        <v>0</v>
      </c>
      <c r="AB84">
        <f t="shared" si="12"/>
        <v>0</v>
      </c>
      <c r="AC84">
        <f t="shared" si="12"/>
        <v>0</v>
      </c>
      <c r="AD84">
        <f t="shared" si="10"/>
        <v>0</v>
      </c>
      <c r="AE84">
        <f t="shared" si="10"/>
        <v>0</v>
      </c>
      <c r="AF84">
        <f t="shared" si="10"/>
        <v>0</v>
      </c>
      <c r="AG84">
        <f t="shared" si="10"/>
        <v>0</v>
      </c>
      <c r="AH84">
        <f t="shared" si="11"/>
        <v>0</v>
      </c>
      <c r="AI84">
        <f t="shared" si="11"/>
        <v>0</v>
      </c>
      <c r="AJ84">
        <f t="shared" si="11"/>
        <v>0</v>
      </c>
    </row>
    <row r="85" spans="1:36" x14ac:dyDescent="0.25">
      <c r="A85" t="s">
        <v>135</v>
      </c>
      <c r="B85" t="s">
        <v>149</v>
      </c>
      <c r="C85" t="s">
        <v>149</v>
      </c>
      <c r="D85" t="s">
        <v>137</v>
      </c>
      <c r="E85" t="s">
        <v>150</v>
      </c>
      <c r="F85">
        <v>0</v>
      </c>
      <c r="G85">
        <f>J85*Assumption!$B$3</f>
        <v>0</v>
      </c>
      <c r="H85">
        <f>J85*Assumption!$B$4</f>
        <v>0</v>
      </c>
      <c r="I85">
        <v>10</v>
      </c>
      <c r="J85">
        <f t="shared" si="7"/>
        <v>0</v>
      </c>
      <c r="K85">
        <v>10</v>
      </c>
      <c r="X85">
        <f t="shared" si="8"/>
        <v>0</v>
      </c>
      <c r="Y85">
        <f t="shared" si="9"/>
        <v>0</v>
      </c>
      <c r="Z85">
        <v>0</v>
      </c>
      <c r="AA85">
        <f t="shared" si="12"/>
        <v>0</v>
      </c>
      <c r="AB85">
        <f t="shared" si="12"/>
        <v>0</v>
      </c>
      <c r="AC85">
        <f t="shared" si="12"/>
        <v>0</v>
      </c>
      <c r="AD85">
        <f t="shared" si="10"/>
        <v>0</v>
      </c>
      <c r="AE85">
        <f t="shared" si="10"/>
        <v>0</v>
      </c>
      <c r="AF85">
        <f t="shared" si="10"/>
        <v>0</v>
      </c>
      <c r="AG85">
        <f t="shared" si="10"/>
        <v>0</v>
      </c>
      <c r="AH85">
        <f t="shared" si="11"/>
        <v>0</v>
      </c>
      <c r="AI85">
        <f t="shared" si="11"/>
        <v>0</v>
      </c>
      <c r="AJ85">
        <f t="shared" si="11"/>
        <v>0</v>
      </c>
    </row>
    <row r="86" spans="1:36" x14ac:dyDescent="0.25">
      <c r="A86" t="s">
        <v>135</v>
      </c>
      <c r="B86" t="s">
        <v>151</v>
      </c>
      <c r="C86" t="s">
        <v>151</v>
      </c>
      <c r="D86" t="s">
        <v>137</v>
      </c>
      <c r="E86" t="s">
        <v>152</v>
      </c>
      <c r="F86">
        <v>0</v>
      </c>
      <c r="G86">
        <f>J86*Assumption!$B$3</f>
        <v>0</v>
      </c>
      <c r="H86">
        <f>J86*Assumption!$B$4</f>
        <v>0</v>
      </c>
      <c r="I86">
        <v>10</v>
      </c>
      <c r="J86">
        <f t="shared" si="7"/>
        <v>0</v>
      </c>
      <c r="K86">
        <v>10</v>
      </c>
      <c r="X86">
        <f t="shared" si="8"/>
        <v>0</v>
      </c>
      <c r="Y86">
        <f t="shared" si="9"/>
        <v>0</v>
      </c>
      <c r="Z86">
        <v>0</v>
      </c>
      <c r="AA86">
        <f t="shared" si="12"/>
        <v>0</v>
      </c>
      <c r="AB86">
        <f t="shared" si="12"/>
        <v>0</v>
      </c>
      <c r="AC86">
        <f t="shared" si="12"/>
        <v>0</v>
      </c>
      <c r="AD86">
        <f t="shared" si="10"/>
        <v>0</v>
      </c>
      <c r="AE86">
        <f t="shared" si="10"/>
        <v>0</v>
      </c>
      <c r="AF86">
        <f t="shared" si="10"/>
        <v>0</v>
      </c>
      <c r="AG86">
        <f t="shared" si="10"/>
        <v>0</v>
      </c>
      <c r="AH86">
        <f t="shared" si="11"/>
        <v>0</v>
      </c>
      <c r="AI86">
        <f t="shared" si="11"/>
        <v>0</v>
      </c>
      <c r="AJ86">
        <f t="shared" si="11"/>
        <v>0</v>
      </c>
    </row>
    <row r="87" spans="1:36" x14ac:dyDescent="0.25">
      <c r="A87" t="s">
        <v>135</v>
      </c>
      <c r="B87" t="s">
        <v>153</v>
      </c>
      <c r="C87" t="s">
        <v>153</v>
      </c>
      <c r="D87" t="s">
        <v>137</v>
      </c>
      <c r="E87" t="s">
        <v>154</v>
      </c>
      <c r="F87">
        <v>0</v>
      </c>
      <c r="G87">
        <f>J87*Assumption!$B$3</f>
        <v>0</v>
      </c>
      <c r="H87">
        <f>J87*Assumption!$B$4</f>
        <v>0</v>
      </c>
      <c r="I87">
        <v>10</v>
      </c>
      <c r="J87">
        <f t="shared" si="7"/>
        <v>0</v>
      </c>
      <c r="K87">
        <v>10</v>
      </c>
      <c r="X87">
        <f t="shared" si="8"/>
        <v>0</v>
      </c>
      <c r="Y87">
        <f t="shared" si="9"/>
        <v>0</v>
      </c>
      <c r="Z87">
        <v>0</v>
      </c>
      <c r="AA87">
        <f t="shared" si="12"/>
        <v>0</v>
      </c>
      <c r="AB87">
        <f t="shared" si="12"/>
        <v>0</v>
      </c>
      <c r="AC87">
        <f t="shared" si="12"/>
        <v>0</v>
      </c>
      <c r="AD87">
        <f t="shared" si="10"/>
        <v>0</v>
      </c>
      <c r="AE87">
        <f t="shared" si="10"/>
        <v>0</v>
      </c>
      <c r="AF87">
        <f t="shared" si="10"/>
        <v>0</v>
      </c>
      <c r="AG87">
        <f t="shared" si="10"/>
        <v>0</v>
      </c>
      <c r="AH87">
        <f t="shared" si="11"/>
        <v>0</v>
      </c>
      <c r="AI87">
        <f t="shared" si="11"/>
        <v>0</v>
      </c>
      <c r="AJ87">
        <f t="shared" si="11"/>
        <v>0</v>
      </c>
    </row>
    <row r="88" spans="1:36" x14ac:dyDescent="0.25">
      <c r="A88" t="s">
        <v>135</v>
      </c>
      <c r="B88" t="s">
        <v>155</v>
      </c>
      <c r="C88" t="s">
        <v>155</v>
      </c>
      <c r="D88" t="s">
        <v>137</v>
      </c>
      <c r="E88" t="s">
        <v>156</v>
      </c>
      <c r="F88">
        <v>0</v>
      </c>
      <c r="G88">
        <f>J88*Assumption!$B$3</f>
        <v>0</v>
      </c>
      <c r="H88">
        <f>J88*Assumption!$B$4</f>
        <v>0</v>
      </c>
      <c r="I88">
        <v>10</v>
      </c>
      <c r="J88">
        <f t="shared" si="7"/>
        <v>0</v>
      </c>
      <c r="K88">
        <v>10</v>
      </c>
      <c r="X88">
        <f t="shared" si="8"/>
        <v>0</v>
      </c>
      <c r="Y88">
        <f t="shared" si="9"/>
        <v>0</v>
      </c>
      <c r="Z88">
        <v>0</v>
      </c>
      <c r="AA88">
        <f t="shared" si="12"/>
        <v>0</v>
      </c>
      <c r="AB88">
        <f t="shared" si="12"/>
        <v>0</v>
      </c>
      <c r="AC88">
        <f t="shared" si="12"/>
        <v>0</v>
      </c>
      <c r="AD88">
        <f t="shared" si="10"/>
        <v>0</v>
      </c>
      <c r="AE88">
        <f t="shared" si="10"/>
        <v>0</v>
      </c>
      <c r="AF88">
        <f t="shared" si="10"/>
        <v>0</v>
      </c>
      <c r="AG88">
        <f t="shared" si="10"/>
        <v>0</v>
      </c>
      <c r="AH88">
        <f t="shared" si="11"/>
        <v>0</v>
      </c>
      <c r="AI88">
        <f t="shared" si="11"/>
        <v>0</v>
      </c>
      <c r="AJ88">
        <f t="shared" si="11"/>
        <v>0</v>
      </c>
    </row>
    <row r="89" spans="1:36" x14ac:dyDescent="0.25">
      <c r="A89" t="s">
        <v>135</v>
      </c>
      <c r="B89" t="s">
        <v>157</v>
      </c>
      <c r="C89" t="s">
        <v>157</v>
      </c>
      <c r="D89" t="s">
        <v>137</v>
      </c>
      <c r="E89" t="s">
        <v>158</v>
      </c>
      <c r="F89">
        <v>0</v>
      </c>
      <c r="G89">
        <f>J89*Assumption!$B$3</f>
        <v>0</v>
      </c>
      <c r="H89">
        <f>J89*Assumption!$B$4</f>
        <v>0</v>
      </c>
      <c r="I89">
        <v>10</v>
      </c>
      <c r="J89">
        <f t="shared" si="7"/>
        <v>0</v>
      </c>
      <c r="K89">
        <v>10</v>
      </c>
      <c r="X89">
        <f t="shared" si="8"/>
        <v>0</v>
      </c>
      <c r="Y89">
        <f t="shared" si="9"/>
        <v>0</v>
      </c>
      <c r="Z89">
        <v>0</v>
      </c>
      <c r="AA89">
        <f t="shared" si="12"/>
        <v>0</v>
      </c>
      <c r="AB89">
        <f t="shared" si="12"/>
        <v>0</v>
      </c>
      <c r="AC89">
        <f t="shared" si="12"/>
        <v>0</v>
      </c>
      <c r="AD89">
        <f t="shared" si="10"/>
        <v>0</v>
      </c>
      <c r="AE89">
        <f t="shared" si="10"/>
        <v>0</v>
      </c>
      <c r="AF89">
        <f t="shared" si="10"/>
        <v>0</v>
      </c>
      <c r="AG89">
        <f t="shared" si="10"/>
        <v>0</v>
      </c>
      <c r="AH89">
        <f t="shared" si="11"/>
        <v>0</v>
      </c>
      <c r="AI89">
        <f t="shared" si="11"/>
        <v>0</v>
      </c>
      <c r="AJ89">
        <f t="shared" si="11"/>
        <v>0</v>
      </c>
    </row>
    <row r="90" spans="1:36" x14ac:dyDescent="0.25">
      <c r="A90" t="s">
        <v>135</v>
      </c>
      <c r="B90" t="s">
        <v>159</v>
      </c>
      <c r="C90" t="s">
        <v>159</v>
      </c>
      <c r="D90" t="s">
        <v>137</v>
      </c>
      <c r="E90" t="s">
        <v>160</v>
      </c>
      <c r="F90">
        <v>0</v>
      </c>
      <c r="G90">
        <f>J90*Assumption!$B$3</f>
        <v>0</v>
      </c>
      <c r="H90">
        <f>J90*Assumption!$B$4</f>
        <v>0</v>
      </c>
      <c r="I90">
        <v>10</v>
      </c>
      <c r="J90">
        <f t="shared" si="7"/>
        <v>0</v>
      </c>
      <c r="K90">
        <v>10</v>
      </c>
      <c r="X90">
        <f t="shared" si="8"/>
        <v>0</v>
      </c>
      <c r="Y90">
        <f t="shared" si="9"/>
        <v>0</v>
      </c>
      <c r="Z90">
        <v>0</v>
      </c>
      <c r="AA90">
        <f t="shared" si="12"/>
        <v>0</v>
      </c>
      <c r="AB90">
        <f t="shared" si="12"/>
        <v>0</v>
      </c>
      <c r="AC90">
        <f t="shared" si="12"/>
        <v>0</v>
      </c>
      <c r="AD90">
        <f t="shared" si="10"/>
        <v>0</v>
      </c>
      <c r="AE90">
        <f t="shared" si="10"/>
        <v>0</v>
      </c>
      <c r="AF90">
        <f t="shared" si="10"/>
        <v>0</v>
      </c>
      <c r="AG90">
        <f t="shared" si="10"/>
        <v>0</v>
      </c>
      <c r="AH90">
        <f t="shared" si="11"/>
        <v>0</v>
      </c>
      <c r="AI90">
        <f t="shared" si="11"/>
        <v>0</v>
      </c>
      <c r="AJ90">
        <f t="shared" si="11"/>
        <v>0</v>
      </c>
    </row>
    <row r="91" spans="1:36" x14ac:dyDescent="0.25">
      <c r="A91" t="s">
        <v>135</v>
      </c>
      <c r="B91" t="s">
        <v>161</v>
      </c>
      <c r="C91" t="s">
        <v>161</v>
      </c>
      <c r="D91" t="s">
        <v>137</v>
      </c>
      <c r="E91" t="s">
        <v>161</v>
      </c>
      <c r="F91">
        <v>139500</v>
      </c>
      <c r="G91">
        <f>J91*Assumption!$B$3</f>
        <v>200000</v>
      </c>
      <c r="H91">
        <f>J91*Assumption!$B$4</f>
        <v>200000</v>
      </c>
      <c r="I91">
        <v>10</v>
      </c>
      <c r="J91">
        <f t="shared" si="7"/>
        <v>200</v>
      </c>
      <c r="K91">
        <v>10</v>
      </c>
      <c r="N91">
        <v>50</v>
      </c>
      <c r="O91">
        <v>50</v>
      </c>
      <c r="P91">
        <v>50</v>
      </c>
      <c r="Q91">
        <v>50</v>
      </c>
      <c r="X91">
        <f t="shared" si="8"/>
        <v>220</v>
      </c>
      <c r="Y91">
        <f t="shared" si="9"/>
        <v>0</v>
      </c>
      <c r="Z91">
        <v>0</v>
      </c>
      <c r="AA91">
        <f t="shared" si="12"/>
        <v>55</v>
      </c>
      <c r="AB91">
        <f t="shared" si="12"/>
        <v>55</v>
      </c>
      <c r="AC91">
        <f t="shared" si="12"/>
        <v>55</v>
      </c>
      <c r="AD91">
        <f t="shared" si="10"/>
        <v>55</v>
      </c>
      <c r="AE91">
        <f t="shared" si="10"/>
        <v>0</v>
      </c>
      <c r="AF91">
        <f t="shared" si="10"/>
        <v>0</v>
      </c>
      <c r="AG91">
        <f t="shared" si="10"/>
        <v>0</v>
      </c>
      <c r="AH91">
        <f t="shared" si="11"/>
        <v>0</v>
      </c>
      <c r="AI91">
        <f t="shared" si="11"/>
        <v>0</v>
      </c>
      <c r="AJ91">
        <f t="shared" si="11"/>
        <v>0</v>
      </c>
    </row>
    <row r="92" spans="1:36" x14ac:dyDescent="0.25">
      <c r="A92" t="s">
        <v>135</v>
      </c>
      <c r="B92" t="s">
        <v>162</v>
      </c>
      <c r="C92" t="s">
        <v>162</v>
      </c>
      <c r="D92" t="s">
        <v>137</v>
      </c>
      <c r="E92" t="s">
        <v>162</v>
      </c>
      <c r="F92">
        <v>12000</v>
      </c>
      <c r="G92">
        <f>J92*Assumption!$B$3</f>
        <v>300000</v>
      </c>
      <c r="H92">
        <f>J92*Assumption!$B$4</f>
        <v>300000</v>
      </c>
      <c r="I92">
        <v>10</v>
      </c>
      <c r="J92">
        <f t="shared" si="7"/>
        <v>300</v>
      </c>
      <c r="K92">
        <v>10</v>
      </c>
      <c r="L92">
        <v>50</v>
      </c>
      <c r="M92">
        <v>50</v>
      </c>
      <c r="N92">
        <v>50</v>
      </c>
      <c r="O92">
        <v>50</v>
      </c>
      <c r="P92">
        <v>50</v>
      </c>
      <c r="Q92">
        <v>50</v>
      </c>
      <c r="X92">
        <f t="shared" si="8"/>
        <v>279</v>
      </c>
      <c r="Y92">
        <f t="shared" si="9"/>
        <v>55</v>
      </c>
      <c r="Z92">
        <v>4</v>
      </c>
      <c r="AA92">
        <f t="shared" si="12"/>
        <v>55</v>
      </c>
      <c r="AB92">
        <f t="shared" si="12"/>
        <v>55</v>
      </c>
      <c r="AC92">
        <f t="shared" si="12"/>
        <v>55</v>
      </c>
      <c r="AD92">
        <f t="shared" si="10"/>
        <v>55</v>
      </c>
      <c r="AE92">
        <f t="shared" si="10"/>
        <v>0</v>
      </c>
      <c r="AF92">
        <f t="shared" si="10"/>
        <v>0</v>
      </c>
      <c r="AG92">
        <f t="shared" si="10"/>
        <v>0</v>
      </c>
      <c r="AH92">
        <f t="shared" si="11"/>
        <v>0</v>
      </c>
      <c r="AI92">
        <f t="shared" si="11"/>
        <v>0</v>
      </c>
      <c r="AJ92">
        <f t="shared" si="11"/>
        <v>0</v>
      </c>
    </row>
    <row r="93" spans="1:36" x14ac:dyDescent="0.25">
      <c r="A93" t="s">
        <v>135</v>
      </c>
      <c r="B93" t="s">
        <v>163</v>
      </c>
      <c r="C93" t="s">
        <v>163</v>
      </c>
      <c r="D93" t="s">
        <v>137</v>
      </c>
      <c r="E93" t="s">
        <v>163</v>
      </c>
      <c r="F93">
        <v>75000</v>
      </c>
      <c r="G93">
        <f>J93*Assumption!$B$3</f>
        <v>200000</v>
      </c>
      <c r="H93">
        <f>J93*Assumption!$B$4</f>
        <v>200000</v>
      </c>
      <c r="I93">
        <v>10</v>
      </c>
      <c r="J93">
        <f t="shared" si="7"/>
        <v>200</v>
      </c>
      <c r="K93">
        <v>10</v>
      </c>
      <c r="N93">
        <v>50</v>
      </c>
      <c r="O93">
        <v>50</v>
      </c>
      <c r="P93">
        <v>50</v>
      </c>
      <c r="Q93">
        <v>50</v>
      </c>
      <c r="X93">
        <f t="shared" si="8"/>
        <v>220</v>
      </c>
      <c r="Y93">
        <f t="shared" si="9"/>
        <v>0</v>
      </c>
      <c r="Z93">
        <v>0</v>
      </c>
      <c r="AA93">
        <f t="shared" si="12"/>
        <v>55</v>
      </c>
      <c r="AB93">
        <f t="shared" si="12"/>
        <v>55</v>
      </c>
      <c r="AC93">
        <f t="shared" si="12"/>
        <v>55</v>
      </c>
      <c r="AD93">
        <f t="shared" si="10"/>
        <v>55</v>
      </c>
      <c r="AE93">
        <f t="shared" si="10"/>
        <v>0</v>
      </c>
      <c r="AF93">
        <f t="shared" si="10"/>
        <v>0</v>
      </c>
      <c r="AG93">
        <f t="shared" si="10"/>
        <v>0</v>
      </c>
      <c r="AH93">
        <f t="shared" si="11"/>
        <v>0</v>
      </c>
      <c r="AI93">
        <f t="shared" si="11"/>
        <v>0</v>
      </c>
      <c r="AJ93">
        <f t="shared" si="11"/>
        <v>0</v>
      </c>
    </row>
    <row r="94" spans="1:36" x14ac:dyDescent="0.25">
      <c r="A94" t="s">
        <v>164</v>
      </c>
      <c r="B94" t="s">
        <v>165</v>
      </c>
      <c r="C94" t="s">
        <v>165</v>
      </c>
      <c r="D94" t="s">
        <v>88</v>
      </c>
      <c r="E94" t="s">
        <v>165</v>
      </c>
      <c r="F94">
        <v>57000</v>
      </c>
      <c r="G94">
        <f>J94*Assumption!$B$3</f>
        <v>50000</v>
      </c>
      <c r="H94">
        <f>J94*Assumption!$B$4</f>
        <v>50000</v>
      </c>
      <c r="I94">
        <v>10</v>
      </c>
      <c r="J94">
        <f t="shared" si="7"/>
        <v>50</v>
      </c>
      <c r="K94">
        <v>10</v>
      </c>
      <c r="L94">
        <v>50</v>
      </c>
      <c r="X94">
        <f t="shared" si="8"/>
        <v>55</v>
      </c>
      <c r="Y94">
        <f t="shared" si="9"/>
        <v>55</v>
      </c>
      <c r="Z94">
        <v>0</v>
      </c>
      <c r="AA94">
        <f t="shared" si="12"/>
        <v>0</v>
      </c>
      <c r="AB94">
        <f t="shared" si="12"/>
        <v>0</v>
      </c>
      <c r="AC94">
        <f t="shared" si="12"/>
        <v>0</v>
      </c>
      <c r="AD94">
        <f t="shared" si="10"/>
        <v>0</v>
      </c>
      <c r="AE94">
        <f t="shared" si="10"/>
        <v>0</v>
      </c>
      <c r="AF94">
        <f t="shared" si="10"/>
        <v>0</v>
      </c>
      <c r="AG94">
        <f t="shared" si="10"/>
        <v>0</v>
      </c>
      <c r="AH94">
        <f t="shared" si="11"/>
        <v>0</v>
      </c>
      <c r="AI94">
        <f t="shared" si="11"/>
        <v>0</v>
      </c>
      <c r="AJ94">
        <f t="shared" si="11"/>
        <v>0</v>
      </c>
    </row>
    <row r="95" spans="1:36" x14ac:dyDescent="0.25">
      <c r="A95" t="s">
        <v>164</v>
      </c>
      <c r="B95" t="s">
        <v>166</v>
      </c>
      <c r="C95" t="s">
        <v>166</v>
      </c>
      <c r="D95" t="s">
        <v>88</v>
      </c>
      <c r="E95" t="s">
        <v>166</v>
      </c>
      <c r="F95">
        <v>25500</v>
      </c>
      <c r="G95">
        <f>J95*Assumption!$B$3</f>
        <v>50000</v>
      </c>
      <c r="H95">
        <f>J95*Assumption!$B$4</f>
        <v>50000</v>
      </c>
      <c r="I95">
        <v>10</v>
      </c>
      <c r="J95">
        <f t="shared" si="7"/>
        <v>50</v>
      </c>
      <c r="K95">
        <v>10</v>
      </c>
      <c r="N95">
        <v>50</v>
      </c>
      <c r="X95">
        <f t="shared" si="8"/>
        <v>55</v>
      </c>
      <c r="Y95">
        <f t="shared" si="9"/>
        <v>0</v>
      </c>
      <c r="Z95">
        <v>0</v>
      </c>
      <c r="AA95">
        <f t="shared" si="12"/>
        <v>55</v>
      </c>
      <c r="AB95">
        <f t="shared" si="12"/>
        <v>0</v>
      </c>
      <c r="AC95">
        <f t="shared" si="12"/>
        <v>0</v>
      </c>
      <c r="AD95">
        <f t="shared" si="10"/>
        <v>0</v>
      </c>
      <c r="AE95">
        <f t="shared" si="10"/>
        <v>0</v>
      </c>
      <c r="AF95">
        <f t="shared" si="10"/>
        <v>0</v>
      </c>
      <c r="AG95">
        <f t="shared" si="10"/>
        <v>0</v>
      </c>
      <c r="AH95">
        <f t="shared" si="11"/>
        <v>0</v>
      </c>
      <c r="AI95">
        <f t="shared" si="11"/>
        <v>0</v>
      </c>
      <c r="AJ95">
        <f t="shared" si="1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CA79-4E83-4C40-9692-FA8D6551B83E}">
  <dimension ref="A1:C10"/>
  <sheetViews>
    <sheetView tabSelected="1" zoomScale="205" zoomScaleNormal="205" workbookViewId="0">
      <selection activeCell="C8" sqref="C8"/>
    </sheetView>
  </sheetViews>
  <sheetFormatPr defaultRowHeight="15" x14ac:dyDescent="0.25"/>
  <cols>
    <col min="1" max="1" width="37.42578125" bestFit="1" customWidth="1"/>
    <col min="2" max="2" width="13.5703125" bestFit="1" customWidth="1"/>
    <col min="3" max="3" width="19" bestFit="1" customWidth="1"/>
  </cols>
  <sheetData>
    <row r="1" spans="1:3" x14ac:dyDescent="0.25">
      <c r="A1" t="s">
        <v>167</v>
      </c>
      <c r="B1" s="1" t="s">
        <v>168</v>
      </c>
      <c r="C1" t="s">
        <v>174</v>
      </c>
    </row>
    <row r="2" spans="1:3" x14ac:dyDescent="0.25">
      <c r="A2" t="s">
        <v>5</v>
      </c>
      <c r="B2">
        <v>1000</v>
      </c>
      <c r="C2" t="s">
        <v>175</v>
      </c>
    </row>
    <row r="3" spans="1:3" x14ac:dyDescent="0.25">
      <c r="A3" t="s">
        <v>6</v>
      </c>
      <c r="B3">
        <v>1000</v>
      </c>
      <c r="C3" t="s">
        <v>176</v>
      </c>
    </row>
    <row r="4" spans="1:3" x14ac:dyDescent="0.25">
      <c r="A4" t="s">
        <v>7</v>
      </c>
      <c r="B4">
        <v>1000</v>
      </c>
      <c r="C4" t="s">
        <v>177</v>
      </c>
    </row>
    <row r="5" spans="1:3" x14ac:dyDescent="0.25">
      <c r="A5" t="s">
        <v>169</v>
      </c>
      <c r="B5">
        <f>SUM(B2:B4)</f>
        <v>3000</v>
      </c>
    </row>
    <row r="6" spans="1:3" x14ac:dyDescent="0.25">
      <c r="A6" t="s">
        <v>173</v>
      </c>
      <c r="B6">
        <v>1000</v>
      </c>
    </row>
    <row r="8" spans="1:3" x14ac:dyDescent="0.25">
      <c r="B8" s="1" t="s">
        <v>171</v>
      </c>
    </row>
    <row r="9" spans="1:3" x14ac:dyDescent="0.25">
      <c r="A9" t="s">
        <v>170</v>
      </c>
      <c r="B9">
        <v>1000</v>
      </c>
    </row>
    <row r="10" spans="1:3" x14ac:dyDescent="0.25">
      <c r="A10" t="s">
        <v>172</v>
      </c>
      <c r="B10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cd_dashboard</vt:lpstr>
      <vt:lpstr>Assumption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Wenjun Liao</cp:lastModifiedBy>
  <dcterms:created xsi:type="dcterms:W3CDTF">2026-04-27T15:27:27Z</dcterms:created>
  <dcterms:modified xsi:type="dcterms:W3CDTF">2026-04-27T15:53:05Z</dcterms:modified>
</cp:coreProperties>
</file>